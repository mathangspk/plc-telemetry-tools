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P:\Documents\Engineering\Design\EZ\"/>
    </mc:Choice>
  </mc:AlternateContent>
  <xr:revisionPtr revIDLastSave="0" documentId="13_ncr:1_{E6D81B0C-1C41-4EFC-845F-144E83B488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3" r:id="rId1"/>
  </sheets>
  <externalReferences>
    <externalReference r:id="rId2"/>
  </externalReferences>
  <definedNames>
    <definedName name="PAarray">'[1]power and energy'!$J$6:$U$509</definedName>
    <definedName name="PAindex">'[1]power and energy'!$C$6:$C$509</definedName>
    <definedName name="PAlabel">'[1]power and energy'!$E$6:$I$509</definedName>
    <definedName name="TAarray">[1]torque!$J$6:$U$391</definedName>
    <definedName name="TAindex">[1]torque!$C$6:$C$391</definedName>
    <definedName name="TAlabel">[1]torque!$E$6:$H$391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110" i="3" l="1"/>
  <c r="W108" i="3"/>
  <c r="W105" i="3"/>
  <c r="E49" i="3"/>
  <c r="F47" i="3"/>
  <c r="L46" i="3"/>
  <c r="F46" i="3"/>
  <c r="P41" i="3"/>
  <c r="P47" i="3" s="1"/>
  <c r="O41" i="3"/>
  <c r="O47" i="3" s="1"/>
  <c r="N41" i="3"/>
  <c r="N46" i="3" s="1"/>
  <c r="M41" i="3"/>
  <c r="M46" i="3" s="1"/>
  <c r="L41" i="3"/>
  <c r="L47" i="3" s="1"/>
  <c r="K41" i="3"/>
  <c r="K47" i="3" s="1"/>
  <c r="J41" i="3"/>
  <c r="J46" i="3" s="1"/>
  <c r="I41" i="3"/>
  <c r="I46" i="3" s="1"/>
  <c r="H41" i="3"/>
  <c r="H46" i="3" s="1"/>
  <c r="G41" i="3"/>
  <c r="G47" i="3" s="1"/>
  <c r="H47" i="3" l="1"/>
  <c r="G46" i="3"/>
  <c r="O46" i="3"/>
  <c r="I47" i="3"/>
  <c r="P46" i="3"/>
  <c r="K46" i="3"/>
  <c r="M47" i="3"/>
  <c r="J47" i="3"/>
  <c r="N47" i="3"/>
</calcChain>
</file>

<file path=xl/sharedStrings.xml><?xml version="1.0" encoding="utf-8"?>
<sst xmlns="http://schemas.openxmlformats.org/spreadsheetml/2006/main" count="184" uniqueCount="135">
  <si>
    <t>Required</t>
  </si>
  <si>
    <t>Brake</t>
  </si>
  <si>
    <t>Mounting</t>
  </si>
  <si>
    <t>Protection</t>
  </si>
  <si>
    <t>Voltage</t>
  </si>
  <si>
    <t>Reversible</t>
  </si>
  <si>
    <t>Output speed (rpm)</t>
  </si>
  <si>
    <t>Output torque (Nm)</t>
  </si>
  <si>
    <t>Braking factor</t>
  </si>
  <si>
    <t>Motor</t>
  </si>
  <si>
    <t>Gearbox ratio (n:1)</t>
  </si>
  <si>
    <t>Gearbox efficiency</t>
  </si>
  <si>
    <t>Service factor</t>
  </si>
  <si>
    <t>Type</t>
  </si>
  <si>
    <t>Gearbox</t>
  </si>
  <si>
    <t>Lifetime</t>
  </si>
  <si>
    <t>Duty</t>
  </si>
  <si>
    <t>Axial load (N)</t>
  </si>
  <si>
    <t>Radial load (N)</t>
  </si>
  <si>
    <t>Mechanical performance</t>
  </si>
  <si>
    <t>Selection</t>
  </si>
  <si>
    <t>Description</t>
  </si>
  <si>
    <t>External/exposed. Rain/snow shielding can be provided if required</t>
  </si>
  <si>
    <t>Power (W)</t>
  </si>
  <si>
    <t>nominal, ranges 90VDC-120VDC</t>
  </si>
  <si>
    <t>To match gearbox</t>
  </si>
  <si>
    <t>Variable speed control</t>
  </si>
  <si>
    <t>has an advantage, but not required</t>
  </si>
  <si>
    <t>1-15second durations</t>
  </si>
  <si>
    <t>approx TBA</t>
  </si>
  <si>
    <t>NVRM090-</t>
  </si>
  <si>
    <t>Application</t>
  </si>
  <si>
    <t>Slewing speed (rpm)</t>
  </si>
  <si>
    <t>Slew drive ratio</t>
  </si>
  <si>
    <t>Slewing torque - peak (kNm)</t>
  </si>
  <si>
    <t>Slewing torque - effective (kNm)</t>
  </si>
  <si>
    <t>Torque - peak (Nm)</t>
  </si>
  <si>
    <t>Torque - effective (Nm)</t>
  </si>
  <si>
    <t>Power - effective (W)</t>
  </si>
  <si>
    <t>Power - peak (W)</t>
  </si>
  <si>
    <t>Electric motor</t>
  </si>
  <si>
    <t>Hydraulic motor</t>
  </si>
  <si>
    <t>Displacement (cc/rev)</t>
  </si>
  <si>
    <t>Efficiency</t>
  </si>
  <si>
    <t>Pressure (MPa)</t>
  </si>
  <si>
    <t>Model</t>
  </si>
  <si>
    <t>Max torque (Nm)</t>
  </si>
  <si>
    <t>Margin on peak torque</t>
  </si>
  <si>
    <t>Flow per motor (l/min)</t>
  </si>
  <si>
    <t>Input torque peak - effective</t>
  </si>
  <si>
    <t>Utilization over duty cycle</t>
  </si>
  <si>
    <t>Theoretical energy per cycle (kJ)</t>
  </si>
  <si>
    <t>Motor output power (kw)</t>
  </si>
  <si>
    <t>Length duty cycle</t>
  </si>
  <si>
    <t>Average power (kw)</t>
  </si>
  <si>
    <t>Theoretical power (kw)</t>
  </si>
  <si>
    <t>Radial load</t>
  </si>
  <si>
    <t>Output speed</t>
  </si>
  <si>
    <t>rpm</t>
  </si>
  <si>
    <t>Output torque</t>
  </si>
  <si>
    <t>Axial load as % of radial load</t>
  </si>
  <si>
    <t>%</t>
  </si>
  <si>
    <t>kN</t>
  </si>
  <si>
    <t>kNm</t>
  </si>
  <si>
    <t>Gearbox must support axial and radial loads</t>
  </si>
  <si>
    <t>Application type</t>
  </si>
  <si>
    <t>IP rating</t>
  </si>
  <si>
    <t>electric motor 96VDC-144VDC nominal</t>
  </si>
  <si>
    <t>low as protected within steel enclosure</t>
  </si>
  <si>
    <t>Required efficiency</t>
  </si>
  <si>
    <t>high as air flow is constrained</t>
  </si>
  <si>
    <t>yes</t>
  </si>
  <si>
    <t>safety brake for parking and emergency stop</t>
  </si>
  <si>
    <t>Scope</t>
  </si>
  <si>
    <t>Location of radial load</t>
  </si>
  <si>
    <t>can be adjusted to match gearbox</t>
  </si>
  <si>
    <t>wheel hub</t>
  </si>
  <si>
    <t>wheel drive</t>
  </si>
  <si>
    <t>Dimensional constraints</t>
  </si>
  <si>
    <t>compact axially, preferably under 400mm</t>
  </si>
  <si>
    <t>electrical: electro-mechanical preferred, but electro-hydraulic can be considered</t>
  </si>
  <si>
    <t>Location and control</t>
  </si>
  <si>
    <t>Duration</t>
  </si>
  <si>
    <t>C</t>
  </si>
  <si>
    <t>D</t>
  </si>
  <si>
    <t>E</t>
  </si>
  <si>
    <t>Peak</t>
  </si>
  <si>
    <t>Idle</t>
  </si>
  <si>
    <t>Name</t>
  </si>
  <si>
    <t>Value/Comments/Units</t>
  </si>
  <si>
    <t>CGL</t>
  </si>
  <si>
    <t>CnGL</t>
  </si>
  <si>
    <t>A/2GL</t>
  </si>
  <si>
    <t>AnGL</t>
  </si>
  <si>
    <t>F</t>
  </si>
  <si>
    <t>G</t>
  </si>
  <si>
    <t>AGL</t>
  </si>
  <si>
    <t>kW</t>
  </si>
  <si>
    <t>Radius (mm)</t>
  </si>
  <si>
    <t>CGnL</t>
  </si>
  <si>
    <t>CnGnL</t>
  </si>
  <si>
    <t>AnGnL</t>
  </si>
  <si>
    <t>CGnL/2</t>
  </si>
  <si>
    <t>CnGnL/2</t>
  </si>
  <si>
    <t>Max</t>
  </si>
  <si>
    <t>Average</t>
  </si>
  <si>
    <t>Power</t>
  </si>
  <si>
    <t>Utilization over 60 minutes</t>
  </si>
  <si>
    <t>Code</t>
  </si>
  <si>
    <t>static</t>
  </si>
  <si>
    <t>(hidden) Mass as % of peak</t>
  </si>
  <si>
    <t>(hidden) Output torque with peak mass</t>
  </si>
  <si>
    <t>Thermal considerations</t>
  </si>
  <si>
    <t>Max ambient temperature</t>
  </si>
  <si>
    <t>45C</t>
  </si>
  <si>
    <t>Static safety factor included</t>
  </si>
  <si>
    <t>Dynamic safety factor included</t>
  </si>
  <si>
    <t>Safety factors and efficiencies</t>
  </si>
  <si>
    <t>Mechanical efficiency</t>
  </si>
  <si>
    <t>Rolling friction already included at 0.018. No others included</t>
  </si>
  <si>
    <t>hub drive gearbox driven by electric motor with safety brake</t>
  </si>
  <si>
    <t>Drive system requirement</t>
  </si>
  <si>
    <t>Date</t>
  </si>
  <si>
    <t>Lifetime - NOT including idle time</t>
  </si>
  <si>
    <t>Machine lifetime (hours)</t>
  </si>
  <si>
    <t>Minimum required lifetime (hours)</t>
  </si>
  <si>
    <t>Drives per standard machine</t>
  </si>
  <si>
    <t>EL straddle carrier electric transmission</t>
  </si>
  <si>
    <t>Arrangement and orientation</t>
  </si>
  <si>
    <t>inline horizontal</t>
  </si>
  <si>
    <t>motor shaft/gearbox input</t>
  </si>
  <si>
    <t>Maximum 2 minute utilization</t>
  </si>
  <si>
    <t>40kw for 100% of time</t>
  </si>
  <si>
    <t>Not included in dynamic analysis below</t>
  </si>
  <si>
    <t>Utilization (per drive)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</si>
</sst>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%"/>
    <numFmt numFmtId="167" formatCode="[$-C09]dd\-mmmm\-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left" wrapText="1"/>
    </xf>
    <xf numFmtId="9" fontId="0" fillId="0" borderId="0" xfId="1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left" wrapText="1"/>
    </xf>
    <xf numFmtId="0" fontId="0" fillId="2" borderId="0" xfId="0" applyFill="1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Alignment="1"/>
    <xf numFmtId="164" fontId="0" fillId="0" borderId="0" xfId="0" applyNumberFormat="1" applyAlignment="1">
      <alignment wrapText="1"/>
    </xf>
    <xf numFmtId="9" fontId="0" fillId="0" borderId="0" xfId="1" applyFon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1" applyNumberFormat="1" applyFont="1" applyAlignment="1">
      <alignment horizontal="left" wrapText="1"/>
    </xf>
    <xf numFmtId="9" fontId="0" fillId="0" borderId="0" xfId="1" applyNumberFormat="1" applyFont="1" applyAlignment="1">
      <alignment horizontal="left" wrapText="1"/>
    </xf>
    <xf numFmtId="2" fontId="0" fillId="0" borderId="0" xfId="0" applyNumberFormat="1" applyAlignment="1">
      <alignment horizontal="left" wrapText="1"/>
    </xf>
    <xf numFmtId="167" fontId="0" fillId="0" borderId="0" xfId="0" applyNumberFormat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Engineering/_Design/Power%20and%20Performance/duty%20cycle%20analysis%20-%20revised%20-%20new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hines"/>
      <sheetName val="selected machines"/>
      <sheetName val="duty cycles"/>
      <sheetName val="selected duty cycles"/>
      <sheetName val="cycle times"/>
      <sheetName val="power and energy"/>
      <sheetName val="torque"/>
      <sheetName val="battery"/>
      <sheetName val="motor and gearbox"/>
      <sheetName val="motor-gearbox"/>
    </sheetNames>
    <sheetDataSet>
      <sheetData sheetId="0"/>
      <sheetData sheetId="1"/>
      <sheetData sheetId="2"/>
      <sheetData sheetId="3"/>
      <sheetData sheetId="4"/>
      <sheetData sheetId="5">
        <row r="6">
          <cell r="E6" t="str">
            <v>Key parameters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F7" t="str">
            <v>Unladen mass of machine - includes lift assembly (kg)</v>
          </cell>
          <cell r="J7">
            <v>37000</v>
          </cell>
          <cell r="K7">
            <v>14000</v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</row>
        <row r="8">
          <cell r="F8" t="str">
            <v>Max mass of load (kg)2</v>
          </cell>
          <cell r="J8">
            <v>35000</v>
          </cell>
          <cell r="K8">
            <v>28000</v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</row>
        <row r="9">
          <cell r="F9" t="str">
            <v>Mass of lift assembly</v>
          </cell>
          <cell r="J9">
            <v>7000</v>
          </cell>
          <cell r="K9">
            <v>2000</v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</row>
        <row r="10">
          <cell r="F10" t="str">
            <v>Laden mass (kg)</v>
          </cell>
          <cell r="J10">
            <v>72000</v>
          </cell>
          <cell r="K10">
            <v>42000</v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</row>
        <row r="11">
          <cell r="F11" t="str">
            <v>Drive total energy efficiency (%)</v>
          </cell>
          <cell r="J11">
            <v>0.8</v>
          </cell>
          <cell r="K11">
            <v>0.85</v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</row>
        <row r="12">
          <cell r="F12" t="str">
            <v>Lift total energy efficiency (%)</v>
          </cell>
          <cell r="J12">
            <v>0.88</v>
          </cell>
          <cell r="K12">
            <v>0.85</v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</row>
        <row r="13">
          <cell r="F13" t="str">
            <v>Rated power (kw)</v>
          </cell>
          <cell r="J13">
            <v>80</v>
          </cell>
          <cell r="K13">
            <v>30</v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</row>
        <row r="14">
          <cell r="E14" t="str">
            <v>Lift</v>
          </cell>
          <cell r="F14">
            <v>0</v>
          </cell>
          <cell r="G14">
            <v>0</v>
          </cell>
          <cell r="H14">
            <v>0</v>
          </cell>
        </row>
        <row r="15">
          <cell r="F15" t="str">
            <v>Dynamic factor for lift systems</v>
          </cell>
          <cell r="J15">
            <v>1.1499999999999999</v>
          </cell>
          <cell r="K15">
            <v>1.1499999999999999</v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</row>
        <row r="16">
          <cell r="F16" t="str">
            <v>Max distance to lift load (m)</v>
          </cell>
          <cell r="J16">
            <v>6</v>
          </cell>
          <cell r="K16">
            <v>3</v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</row>
        <row r="17">
          <cell r="F17" t="str">
            <v>Lift speed (m/s)</v>
          </cell>
          <cell r="J17">
            <v>7.0000000000000007E-2</v>
          </cell>
          <cell r="K17">
            <v>0.85</v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</row>
        <row r="18">
          <cell r="F18" t="str">
            <v>Max time of lift operation (s)</v>
          </cell>
          <cell r="J18">
            <v>85.714285714285708</v>
          </cell>
          <cell r="K18">
            <v>3.5294117647058822</v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</row>
        <row r="19">
          <cell r="F19" t="str">
            <v>Lower speed (m/s)</v>
          </cell>
          <cell r="J19">
            <v>0.08</v>
          </cell>
          <cell r="K19">
            <v>0.85</v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</row>
        <row r="20">
          <cell r="F20" t="str">
            <v>Max time of lower operation (s)</v>
          </cell>
          <cell r="J20">
            <v>75</v>
          </cell>
          <cell r="K20">
            <v>3.5294117647058822</v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</row>
        <row r="21">
          <cell r="F21" t="str">
            <v>Laden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G22" t="str">
            <v>Total mass including lift assembly (kg)</v>
          </cell>
          <cell r="J22">
            <v>42000</v>
          </cell>
          <cell r="K22">
            <v>30000</v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</row>
        <row r="23">
          <cell r="G23" t="str">
            <v>Generative lift power - full load (kw)</v>
          </cell>
          <cell r="I23" t="str">
            <v>P=mgv(Df)/(Eff)</v>
          </cell>
          <cell r="J23">
            <v>37.652045454545458</v>
          </cell>
          <cell r="K23">
            <v>338.1</v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</row>
        <row r="24">
          <cell r="G24" t="str">
            <v>Generative lift power duration - full load, full lift (s)</v>
          </cell>
          <cell r="I24" t="str">
            <v>t</v>
          </cell>
          <cell r="J24">
            <v>85.714285714285708</v>
          </cell>
          <cell r="K24">
            <v>3.5294117647058822</v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</row>
        <row r="25">
          <cell r="G25" t="str">
            <v>Generative lift energy - full load, full lift (kwh)</v>
          </cell>
          <cell r="I25" t="str">
            <v>E=Pt</v>
          </cell>
          <cell r="J25">
            <v>0.89647727272727273</v>
          </cell>
          <cell r="K25">
            <v>0.33147058823529413</v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</row>
        <row r="26">
          <cell r="G26" t="str">
            <v>Regenerative lift power - full load (kw)</v>
          </cell>
          <cell r="I26" t="str">
            <v>P=(Df)mgv(Eff)</v>
          </cell>
          <cell r="J26">
            <v>33.323135999999998</v>
          </cell>
          <cell r="K26">
            <v>244.27724999999998</v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</row>
        <row r="27">
          <cell r="G27" t="str">
            <v>Regenerative lift power duration - full load, full lift (s)</v>
          </cell>
          <cell r="I27" t="str">
            <v>t</v>
          </cell>
          <cell r="J27">
            <v>75</v>
          </cell>
          <cell r="K27">
            <v>3.5294117647058822</v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</row>
        <row r="28">
          <cell r="G28" t="str">
            <v>Regenerative lift energy - full load, full lift (kwh)</v>
          </cell>
          <cell r="I28" t="str">
            <v>E=Pt</v>
          </cell>
          <cell r="J28">
            <v>0.69423200000000007</v>
          </cell>
          <cell r="K28">
            <v>0.23948749999999996</v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</row>
        <row r="29">
          <cell r="F29" t="str">
            <v>Unladen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G30" t="str">
            <v>Total mass including lift assembly (kg)</v>
          </cell>
          <cell r="J30">
            <v>7000</v>
          </cell>
          <cell r="K30">
            <v>2000</v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</row>
        <row r="31">
          <cell r="G31" t="str">
            <v>Generative lift power - no load (kw)</v>
          </cell>
          <cell r="I31" t="str">
            <v>P=mgv(Df)/(Eff)</v>
          </cell>
          <cell r="J31">
            <v>6.2753409090909091</v>
          </cell>
          <cell r="K31">
            <v>22.54</v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</row>
        <row r="32">
          <cell r="G32" t="str">
            <v>Regenerative lift power - no load (kw)</v>
          </cell>
          <cell r="I32" t="str">
            <v>P=mgv(Df)(Eff)</v>
          </cell>
          <cell r="J32">
            <v>5.5538559999999997</v>
          </cell>
          <cell r="K32">
            <v>16.285149999999998</v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</row>
        <row r="33">
          <cell r="E33" t="str">
            <v>Rolling resistance</v>
          </cell>
          <cell r="F33">
            <v>0</v>
          </cell>
          <cell r="G33">
            <v>0</v>
          </cell>
          <cell r="H33">
            <v>0</v>
          </cell>
        </row>
        <row r="34">
          <cell r="F34" t="str">
            <v>Coefficient rolling resistance</v>
          </cell>
          <cell r="J34">
            <v>1.7999999999999999E-2</v>
          </cell>
          <cell r="K34">
            <v>1.7999999999999999E-2</v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</row>
        <row r="35">
          <cell r="F35" t="str">
            <v>Target speed (m/s)</v>
          </cell>
          <cell r="J35">
            <v>1.9444444444444444</v>
          </cell>
          <cell r="K35">
            <v>1.3888888888888888</v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</row>
        <row r="36">
          <cell r="F36" t="str">
            <v>Rolling resistance - 100% speed, laden</v>
          </cell>
        </row>
        <row r="37">
          <cell r="G37" t="str">
            <v>Force to overcome tractive effort (kN)</v>
          </cell>
          <cell r="I37" t="str">
            <v>mgC</v>
          </cell>
          <cell r="J37">
            <v>12.700799999999999</v>
          </cell>
          <cell r="K37">
            <v>7.4088000000000003</v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</row>
        <row r="38">
          <cell r="G38" t="str">
            <v>Generative rolling resistance power - 100% speed, full load</v>
          </cell>
          <cell r="I38" t="str">
            <v>Fv/(Eff)</v>
          </cell>
          <cell r="J38">
            <v>30.869999999999997</v>
          </cell>
          <cell r="K38">
            <v>12.105882352941176</v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</row>
        <row r="39">
          <cell r="F39" t="str">
            <v>Rolling resistance - 100% speed, unladen</v>
          </cell>
        </row>
        <row r="40">
          <cell r="G40" t="str">
            <v>Force to overcome tractive effort (kN)</v>
          </cell>
          <cell r="I40" t="str">
            <v>mgC</v>
          </cell>
          <cell r="J40">
            <v>6.5267999999999997</v>
          </cell>
          <cell r="K40">
            <v>2.4695999999999998</v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</row>
        <row r="41">
          <cell r="G41" t="str">
            <v>Generative rolling resistance power - 100% speed, no load</v>
          </cell>
          <cell r="I41" t="str">
            <v>Fv/(Eff)</v>
          </cell>
          <cell r="J41">
            <v>15.863749999999998</v>
          </cell>
          <cell r="K41">
            <v>4.0352941176470587</v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</row>
        <row r="42">
          <cell r="E42" t="str">
            <v>Acceleration and braking - kinetic and potential energy only</v>
          </cell>
          <cell r="F42">
            <v>0</v>
          </cell>
          <cell r="G42">
            <v>0</v>
          </cell>
          <cell r="H42">
            <v>0</v>
          </cell>
        </row>
        <row r="43">
          <cell r="F43" t="str">
            <v>Rated acceleration and deceleration (m/s/s)</v>
          </cell>
          <cell r="J43">
            <v>0.3</v>
          </cell>
          <cell r="K43">
            <v>0.35</v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</row>
        <row r="44">
          <cell r="F44" t="str">
            <v>Rated acceleration and deceleration (m/s/s)</v>
          </cell>
          <cell r="J44">
            <v>0.3</v>
          </cell>
          <cell r="K44">
            <v>0.35</v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</row>
        <row r="45">
          <cell r="F45" t="str">
            <v>Target travel speed (m/s)</v>
          </cell>
          <cell r="G45">
            <v>0</v>
          </cell>
          <cell r="J45">
            <v>1.9444444444444444</v>
          </cell>
          <cell r="K45">
            <v>1.3888888888888888</v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</row>
        <row r="46">
          <cell r="F46" t="str">
            <v>Laden on flat (to max speed with max load)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</row>
        <row r="47">
          <cell r="G47" t="str">
            <v>Kinetic energy at max speed (kwh)</v>
          </cell>
          <cell r="I47" t="str">
            <v>0.5mv^2</v>
          </cell>
          <cell r="J47">
            <v>3.7808641975308636E-2</v>
          </cell>
          <cell r="K47">
            <v>1.1252572016460903E-2</v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</row>
        <row r="48">
          <cell r="G48" t="str">
            <v>Generative drive energy - max speed, full load (kwh)</v>
          </cell>
          <cell r="I48" t="str">
            <v>KE/(Eff)</v>
          </cell>
          <cell r="J48">
            <v>4.726080246913579E-2</v>
          </cell>
          <cell r="K48">
            <v>1.3238320019365769E-2</v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</row>
        <row r="49">
          <cell r="G49" t="str">
            <v>Regenerative drive energy - max speed, full load (kwh)</v>
          </cell>
          <cell r="I49" t="str">
            <v>KE(Eff)</v>
          </cell>
          <cell r="J49">
            <v>3.024691358024691E-2</v>
          </cell>
          <cell r="K49">
            <v>9.5646862139917663E-3</v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</row>
        <row r="50">
          <cell r="G50" t="str">
            <v>Generative drive power during acceleration - 100% acc, 100% speed, no grade, full load, no rolling resistance (kw)</v>
          </cell>
          <cell r="I50" t="str">
            <v>mav/(Eff)</v>
          </cell>
          <cell r="J50">
            <v>52.5</v>
          </cell>
          <cell r="K50">
            <v>24.019607843137251</v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</row>
        <row r="51">
          <cell r="G51" t="str">
            <v>Regenerative drive power during braking - 100% acc, 100% speed, no grade, full load, no rolling resistance (kw)</v>
          </cell>
          <cell r="I51" t="str">
            <v>mav(Eff)</v>
          </cell>
          <cell r="J51">
            <v>33.6</v>
          </cell>
          <cell r="K51">
            <v>17.354166666666664</v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</row>
        <row r="52">
          <cell r="F52" t="str">
            <v>Unladen on flat (to max speed with no load)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</row>
        <row r="53">
          <cell r="G53" t="str">
            <v>Kinetic energy at max speed (kwh)</v>
          </cell>
          <cell r="I53" t="str">
            <v>0.5mv^2</v>
          </cell>
          <cell r="J53">
            <v>1.9429441015089165E-2</v>
          </cell>
          <cell r="K53">
            <v>3.7508573388203019E-3</v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</row>
        <row r="54">
          <cell r="G54" t="str">
            <v>Generative drive energy - max speed, no load (kwh)</v>
          </cell>
          <cell r="I54" t="str">
            <v>KE/(Eff)</v>
          </cell>
          <cell r="J54">
            <v>2.4286801268861454E-2</v>
          </cell>
          <cell r="K54">
            <v>4.4127733397885905E-3</v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</row>
        <row r="55">
          <cell r="G55" t="str">
            <v>Regenerative drive energy - max speed, no load (kwh)</v>
          </cell>
          <cell r="I55" t="str">
            <v>KE(Eff)</v>
          </cell>
          <cell r="J55">
            <v>1.5543552812071332E-2</v>
          </cell>
          <cell r="K55">
            <v>3.1882287379972566E-3</v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</row>
        <row r="56">
          <cell r="G56" t="str">
            <v>Generative drive power during acceleration - 100% acc, 100% speed, no grade, no load, no rolling resistance (kw)</v>
          </cell>
          <cell r="I56" t="str">
            <v>mav/(Eff)</v>
          </cell>
          <cell r="J56">
            <v>26.979166666666664</v>
          </cell>
          <cell r="K56">
            <v>8.0065359477124183</v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</row>
        <row r="57">
          <cell r="G57" t="str">
            <v>Regenerative drive power during braking - 100% acc, 100% speed, no grade, no load, no rolling resistance (kw)</v>
          </cell>
          <cell r="I57" t="str">
            <v>mav(Eff)</v>
          </cell>
          <cell r="J57">
            <v>17.266666666666666</v>
          </cell>
          <cell r="K57">
            <v>5.7847222222222223</v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</row>
        <row r="58">
          <cell r="F58" t="str">
            <v>Grade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G59" t="str">
            <v>Grade</v>
          </cell>
          <cell r="J59">
            <v>0.02</v>
          </cell>
          <cell r="K59">
            <v>0.03</v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</row>
        <row r="60">
          <cell r="G60" t="str">
            <v>Increase in acceleration/force/power due to grade</v>
          </cell>
          <cell r="J60">
            <v>1.6533333333333333</v>
          </cell>
          <cell r="K60">
            <v>1.8399999999999999</v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</row>
        <row r="61">
          <cell r="E61" t="str">
            <v>Acceleration and braking - unrestricted drive performance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</row>
        <row r="62">
          <cell r="F62" t="str">
            <v>100% acc, 100% speed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</row>
        <row r="63">
          <cell r="G63" t="str">
            <v>Distance to reach full speed - 100% acc, 100% speed (m)</v>
          </cell>
          <cell r="I63" t="str">
            <v>s</v>
          </cell>
          <cell r="J63">
            <v>6.3014403292181074</v>
          </cell>
          <cell r="K63">
            <v>2.755731922398589</v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</row>
        <row r="64">
          <cell r="G64" t="str">
            <v>Duration generative drive power during acceleration - 100% acc, 100% speed (s)</v>
          </cell>
          <cell r="I64" t="str">
            <v>t</v>
          </cell>
          <cell r="J64">
            <v>6.4814814814814818</v>
          </cell>
          <cell r="K64">
            <v>3.9682539682539684</v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</row>
        <row r="65">
          <cell r="G65" t="str">
            <v>Distance to halt - 100% acc, 100% speed (m)</v>
          </cell>
          <cell r="I65" t="str">
            <v>s</v>
          </cell>
          <cell r="J65">
            <v>6.3014403292181074</v>
          </cell>
          <cell r="K65">
            <v>2.755731922398589</v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</row>
        <row r="66">
          <cell r="G66" t="str">
            <v>Duration regenerative drive power during braking - 100% acc, 100% speed (s)</v>
          </cell>
          <cell r="I66" t="str">
            <v>t</v>
          </cell>
          <cell r="J66">
            <v>6.4814814814814818</v>
          </cell>
          <cell r="K66">
            <v>3.9682539682539684</v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</row>
        <row r="67">
          <cell r="F67" t="str">
            <v>100% acc, 100% speed, no grade, laden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G68" t="str">
            <v>Peak generative drive power during acceleration - 100% acc, 100% speed, no grade, laden (kw)</v>
          </cell>
          <cell r="J68">
            <v>83.37</v>
          </cell>
          <cell r="K68">
            <v>36.125490196078431</v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</row>
        <row r="69">
          <cell r="G69" t="str">
            <v>Generative drive energy during acceleration - 100% acc, 100% speed, no grade, laden (kwh)</v>
          </cell>
          <cell r="I69" t="str">
            <v>E=(KE+msg(c+Gr))/(Eff)</v>
          </cell>
          <cell r="J69">
            <v>7.5050154320987647E-2</v>
          </cell>
          <cell r="K69">
            <v>1.9910433309126119E-2</v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</row>
        <row r="70">
          <cell r="G70" t="str">
            <v>Average generative drive power during acceleration - 100% acc, 100% speed, no grade, laden (kw)</v>
          </cell>
          <cell r="I70" t="str">
            <v>P=E/t</v>
          </cell>
          <cell r="J70">
            <v>41.685000000000002</v>
          </cell>
          <cell r="K70">
            <v>18.062745098039215</v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</row>
        <row r="71">
          <cell r="G71" t="str">
            <v>Check</v>
          </cell>
          <cell r="J71">
            <v>41.684999999999995</v>
          </cell>
          <cell r="K71">
            <v>18.062745098039212</v>
          </cell>
          <cell r="L71" t="e">
            <v>#VALUE!</v>
          </cell>
          <cell r="M71" t="e">
            <v>#VALUE!</v>
          </cell>
          <cell r="N71" t="e">
            <v>#VALUE!</v>
          </cell>
          <cell r="O71" t="e">
            <v>#VALUE!</v>
          </cell>
          <cell r="P71" t="e">
            <v>#VALUE!</v>
          </cell>
          <cell r="Q71" t="e">
            <v>#VALUE!</v>
          </cell>
          <cell r="R71" t="e">
            <v>#VALUE!</v>
          </cell>
          <cell r="S71" t="e">
            <v>#VALUE!</v>
          </cell>
          <cell r="T71" t="e">
            <v>#VALUE!</v>
          </cell>
          <cell r="U71" t="e">
            <v>#VALUE!</v>
          </cell>
        </row>
        <row r="72">
          <cell r="G72" t="str">
            <v>Peak regenerative drive power during braking - 100% acc, 100% speed, no grade, laden (kw)</v>
          </cell>
          <cell r="J72">
            <v>2.730000000000004</v>
          </cell>
          <cell r="K72">
            <v>5.2482843137254882</v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</row>
        <row r="73">
          <cell r="E73">
            <v>0</v>
          </cell>
          <cell r="G73" t="str">
            <v>Regenerative drive energy during braking - 100% acc, 100% speed, no grade, laden (kwh)</v>
          </cell>
          <cell r="I73" t="str">
            <v>E=ms(a+g.Gr-g.c)(Eff)</v>
          </cell>
          <cell r="J73">
            <v>1.2461728395061728E-2</v>
          </cell>
          <cell r="K73">
            <v>4.744084362139917E-3</v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</row>
        <row r="74">
          <cell r="E74">
            <v>0</v>
          </cell>
          <cell r="G74" t="str">
            <v>Average regenerative drive power during braking -100% acc, 100% speed, no grade, laden (kw)</v>
          </cell>
          <cell r="I74" t="str">
            <v>P=E/t</v>
          </cell>
          <cell r="J74">
            <v>6.9215999999999998</v>
          </cell>
          <cell r="K74">
            <v>4.3038333333333325</v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</row>
        <row r="75">
          <cell r="F75" t="str">
            <v>100% acc, 100% speed, full grade, laden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G76" t="str">
            <v>Peak generative drive power during acceleration - 100% acc, 100% speed, full grade, laden (kw)</v>
          </cell>
          <cell r="J76">
            <v>117.66999999999999</v>
          </cell>
          <cell r="K76">
            <v>56.301960784313721</v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</row>
        <row r="77">
          <cell r="G77" t="str">
            <v>Generative drive energy during acceleration - 100% acc, 100% speed, full grade, laden (kwh)</v>
          </cell>
          <cell r="I77" t="str">
            <v>E=(KE+msg(c+Gr))/(Eff)</v>
          </cell>
          <cell r="J77">
            <v>0.10592721193415637</v>
          </cell>
          <cell r="K77">
            <v>3.1030622125393367E-2</v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</row>
        <row r="78">
          <cell r="G78" t="str">
            <v>Average generative drive power during acceleration - 100% acc, 100% speed, full grade, laden (kw)</v>
          </cell>
          <cell r="I78" t="str">
            <v>P=E/t</v>
          </cell>
          <cell r="J78">
            <v>58.834999999999994</v>
          </cell>
          <cell r="K78">
            <v>28.15098039215686</v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</row>
        <row r="79">
          <cell r="G79" t="str">
            <v>Check</v>
          </cell>
          <cell r="J79">
            <v>58.834999999999994</v>
          </cell>
          <cell r="K79">
            <v>28.15098039215686</v>
          </cell>
          <cell r="L79" t="e">
            <v>#VALUE!</v>
          </cell>
          <cell r="M79" t="e">
            <v>#VALUE!</v>
          </cell>
          <cell r="N79" t="e">
            <v>#VALUE!</v>
          </cell>
          <cell r="O79" t="e">
            <v>#VALUE!</v>
          </cell>
          <cell r="P79" t="e">
            <v>#VALUE!</v>
          </cell>
          <cell r="Q79" t="e">
            <v>#VALUE!</v>
          </cell>
          <cell r="R79" t="e">
            <v>#VALUE!</v>
          </cell>
          <cell r="S79" t="e">
            <v>#VALUE!</v>
          </cell>
          <cell r="T79" t="e">
            <v>#VALUE!</v>
          </cell>
          <cell r="U79" t="e">
            <v>#VALUE!</v>
          </cell>
        </row>
        <row r="80">
          <cell r="G80" t="str">
            <v>Peak regenerative drive power during braking - 100% acc, 100% speed, full grade, laden (kw)</v>
          </cell>
          <cell r="J80">
            <v>24.682000000000002</v>
          </cell>
          <cell r="K80">
            <v>19.825784313725485</v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</row>
        <row r="81">
          <cell r="E81">
            <v>0</v>
          </cell>
          <cell r="G81" t="str">
            <v>Regenerative drive energy during braking - 100% acc, 100% speed, full grade, laden (kwh)</v>
          </cell>
          <cell r="I81" t="str">
            <v>E=ms(a+g.Gr-g.c)(Eff)</v>
          </cell>
          <cell r="J81">
            <v>3.2223045267489717E-2</v>
          </cell>
          <cell r="K81">
            <v>1.2778420781893E-2</v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</row>
        <row r="82">
          <cell r="E82">
            <v>0</v>
          </cell>
          <cell r="G82" t="str">
            <v>Average regenerative drive power during braking -100% acc, 100% speed, full grade, laden (kw)</v>
          </cell>
          <cell r="I82" t="str">
            <v>P=E/t</v>
          </cell>
          <cell r="J82">
            <v>17.897600000000001</v>
          </cell>
          <cell r="K82">
            <v>11.59258333333333</v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</row>
        <row r="83">
          <cell r="F83" t="str">
            <v>100% acc, 100% speed, no grade, unladen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G84" t="str">
            <v>Peak generative drive power during acceleration - 100% acc, 100% speed, no grade, unladen (kw)</v>
          </cell>
          <cell r="J84">
            <v>42.84291666666666</v>
          </cell>
          <cell r="K84">
            <v>12.041830065359477</v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</row>
        <row r="85">
          <cell r="G85" t="str">
            <v>Generative drive energy during acceleration - 100% acc, 100% speed, no grade, unladen (kwh)</v>
          </cell>
          <cell r="I85" t="str">
            <v>E=(KE+msg(c+Gr))/(Eff)</v>
          </cell>
          <cell r="J85">
            <v>3.8567440414951991E-2</v>
          </cell>
          <cell r="K85">
            <v>6.6368111030420405E-3</v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</row>
        <row r="86">
          <cell r="G86" t="str">
            <v>Average generative drive power during acceleration - 100% acc, 100% speed, no grade, unladen (kw)</v>
          </cell>
          <cell r="I86" t="str">
            <v>P=E/t</v>
          </cell>
          <cell r="J86">
            <v>21.42145833333333</v>
          </cell>
          <cell r="K86">
            <v>6.0209150326797385</v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</row>
        <row r="87">
          <cell r="G87" t="str">
            <v>Check</v>
          </cell>
          <cell r="J87">
            <v>21.421458333333334</v>
          </cell>
          <cell r="K87">
            <v>6.0209150326797385</v>
          </cell>
          <cell r="L87" t="e">
            <v>#VALUE!</v>
          </cell>
          <cell r="M87" t="e">
            <v>#VALUE!</v>
          </cell>
          <cell r="N87" t="e">
            <v>#VALUE!</v>
          </cell>
          <cell r="O87" t="e">
            <v>#VALUE!</v>
          </cell>
          <cell r="P87" t="e">
            <v>#VALUE!</v>
          </cell>
          <cell r="Q87" t="e">
            <v>#VALUE!</v>
          </cell>
          <cell r="R87" t="e">
            <v>#VALUE!</v>
          </cell>
          <cell r="S87" t="e">
            <v>#VALUE!</v>
          </cell>
          <cell r="T87" t="e">
            <v>#VALUE!</v>
          </cell>
          <cell r="U87" t="e">
            <v>#VALUE!</v>
          </cell>
        </row>
        <row r="88">
          <cell r="G88" t="str">
            <v>Peak regenerative drive power during braking - 100% acc, 100% speed, no grade, unladen (kw)</v>
          </cell>
          <cell r="J88">
            <v>1.4029166666666679</v>
          </cell>
          <cell r="K88">
            <v>1.7494281045751636</v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</row>
        <row r="89">
          <cell r="E89">
            <v>0</v>
          </cell>
          <cell r="G89" t="str">
            <v>Regenerative drive energy during braking - 100% acc, 100% speed, no grade, unladen (kwh)</v>
          </cell>
          <cell r="I89" t="str">
            <v>E=ms(a+g.Gr-g.c)(Eff)</v>
          </cell>
          <cell r="J89">
            <v>6.4039437585733869E-3</v>
          </cell>
          <cell r="K89">
            <v>1.5813614540466389E-3</v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</row>
        <row r="90">
          <cell r="E90">
            <v>0</v>
          </cell>
          <cell r="G90" t="str">
            <v>Average regenerative drive power during braking -100% acc, 100% speed, no grade, unladen (kw)</v>
          </cell>
          <cell r="I90" t="str">
            <v>P=E/t</v>
          </cell>
          <cell r="J90">
            <v>3.5569333333333324</v>
          </cell>
          <cell r="K90">
            <v>1.4346111111111108</v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</row>
        <row r="91">
          <cell r="F91" t="str">
            <v>100% acc, 100% speed, full grade, unladen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</row>
        <row r="92">
          <cell r="G92" t="str">
            <v>Peak generative drive power during acceleration - 100% acc, 100% speed, full grade, unladen (kw)</v>
          </cell>
          <cell r="J92">
            <v>60.46930555555555</v>
          </cell>
          <cell r="K92">
            <v>18.767320261437909</v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</row>
        <row r="93">
          <cell r="G93" t="str">
            <v>Generative drive energy during acceleration - 100% acc, 100% speed, full grade, unladen (kwh)</v>
          </cell>
          <cell r="I93" t="str">
            <v>E=(KE+msg(c+Gr))/(Eff)</v>
          </cell>
          <cell r="J93">
            <v>5.4434817243941475E-2</v>
          </cell>
          <cell r="K93">
            <v>1.0343540708464456E-2</v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</row>
        <row r="94">
          <cell r="G94" t="str">
            <v>Average generative drive power during acceleration - 100% acc, 100% speed, full grade, unladen (kw)</v>
          </cell>
          <cell r="I94" t="str">
            <v>P=E/t</v>
          </cell>
          <cell r="J94">
            <v>30.234652777777775</v>
          </cell>
          <cell r="K94">
            <v>9.3836601307189547</v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</row>
        <row r="95">
          <cell r="G95" t="str">
            <v>Check</v>
          </cell>
          <cell r="J95">
            <v>30.234652777777779</v>
          </cell>
          <cell r="K95">
            <v>9.3836601307189547</v>
          </cell>
          <cell r="L95" t="e">
            <v>#VALUE!</v>
          </cell>
          <cell r="M95" t="e">
            <v>#VALUE!</v>
          </cell>
          <cell r="N95" t="e">
            <v>#VALUE!</v>
          </cell>
          <cell r="O95" t="e">
            <v>#VALUE!</v>
          </cell>
          <cell r="P95" t="e">
            <v>#VALUE!</v>
          </cell>
          <cell r="Q95" t="e">
            <v>#VALUE!</v>
          </cell>
          <cell r="R95" t="e">
            <v>#VALUE!</v>
          </cell>
          <cell r="S95" t="e">
            <v>#VALUE!</v>
          </cell>
          <cell r="T95" t="e">
            <v>#VALUE!</v>
          </cell>
          <cell r="U95" t="e">
            <v>#VALUE!</v>
          </cell>
        </row>
        <row r="96">
          <cell r="G96" t="str">
            <v>Peak regenerative drive power during braking - 100% acc, 100% speed, full grade, unladen (kw)</v>
          </cell>
          <cell r="J96">
            <v>12.683805555555557</v>
          </cell>
          <cell r="K96">
            <v>6.6085947712418296</v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</row>
        <row r="97">
          <cell r="E97">
            <v>0</v>
          </cell>
          <cell r="G97" t="str">
            <v>Regenerative drive energy during braking - 100% acc, 100% speed, full grade, unladen (kwh)</v>
          </cell>
          <cell r="I97" t="str">
            <v>E=ms(a+g.Gr-g.c)(Eff)</v>
          </cell>
          <cell r="J97">
            <v>1.6559064929126659E-2</v>
          </cell>
          <cell r="K97">
            <v>4.2594735939643332E-3</v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</row>
        <row r="98">
          <cell r="E98">
            <v>0</v>
          </cell>
          <cell r="G98" t="str">
            <v>Average regenerative drive power during braking -100% acc, 100% speed, full grade, unladen (kw)</v>
          </cell>
          <cell r="I98" t="str">
            <v>P=E/t</v>
          </cell>
          <cell r="J98">
            <v>9.1973777777777794</v>
          </cell>
          <cell r="K98">
            <v>3.8641944444444429</v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</row>
        <row r="99">
          <cell r="F99" t="str">
            <v>Other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</row>
        <row r="100">
          <cell r="G100" t="str">
            <v>Peak generative drive power during acceleration - 50% acc, 100% speed, no grade, full load (kw)</v>
          </cell>
          <cell r="J100">
            <v>57.12</v>
          </cell>
          <cell r="K100">
            <v>24.115686274509802</v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</row>
        <row r="101">
          <cell r="G101" t="str">
            <v>Peak generative drive power during acceleration - 50% acc, 100% speed, full grade, full load (kw)</v>
          </cell>
          <cell r="J101">
            <v>74.27</v>
          </cell>
          <cell r="K101">
            <v>34.20392156862745</v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</row>
        <row r="102">
          <cell r="G102" t="str">
            <v>Peak generative drive power during acceleration - 100% acc, 50% speed, no grade, full load (kw)</v>
          </cell>
          <cell r="J102">
            <v>41.685000000000002</v>
          </cell>
          <cell r="K102">
            <v>18.062745098039215</v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</row>
        <row r="103">
          <cell r="G103" t="str">
            <v>Peak generative drive power during acceleration - 100% acc, 50% speed, full grade, full load (kw)</v>
          </cell>
          <cell r="J103">
            <v>58.834999999999994</v>
          </cell>
          <cell r="K103">
            <v>28.15098039215686</v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</row>
        <row r="104">
          <cell r="C104">
            <v>0</v>
          </cell>
          <cell r="E104" t="str">
            <v>Power limited drive performance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</row>
        <row r="105">
          <cell r="F105" t="str">
            <v>Target speed (m/s)</v>
          </cell>
          <cell r="J105">
            <v>1.9444444444444444</v>
          </cell>
          <cell r="K105">
            <v>1.3888888888888888</v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  <cell r="S105" t="str">
            <v/>
          </cell>
          <cell r="T105" t="str">
            <v/>
          </cell>
          <cell r="U105" t="str">
            <v/>
          </cell>
        </row>
        <row r="106">
          <cell r="F106" t="str">
            <v>Rated acceleration and deceleration (m/s/s)</v>
          </cell>
          <cell r="J106">
            <v>0.3</v>
          </cell>
          <cell r="K106">
            <v>0.35</v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  <cell r="S106" t="str">
            <v/>
          </cell>
          <cell r="T106" t="str">
            <v/>
          </cell>
          <cell r="U106" t="str">
            <v/>
          </cell>
        </row>
        <row r="107">
          <cell r="F107" t="str">
            <v>Grade</v>
          </cell>
          <cell r="J107">
            <v>0.02</v>
          </cell>
          <cell r="K107">
            <v>0.03</v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  <cell r="S107" t="str">
            <v/>
          </cell>
          <cell r="T107" t="str">
            <v/>
          </cell>
          <cell r="U107" t="str">
            <v/>
          </cell>
        </row>
        <row r="108">
          <cell r="F108" t="str">
            <v>Power limited drive performance - no grade (accelerating)</v>
          </cell>
          <cell r="G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</row>
        <row r="109">
          <cell r="G109" t="str">
            <v>Power limited acceleration - 100% speed, no grade (m/s^2)</v>
          </cell>
          <cell r="I109" t="str">
            <v>P(Efff)/mv-gc</v>
          </cell>
          <cell r="J109">
            <v>0.28074285714285713</v>
          </cell>
          <cell r="K109">
            <v>0.26074285714285717</v>
          </cell>
          <cell r="L109" t="str">
            <v/>
          </cell>
          <cell r="M109" t="str">
            <v/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  <cell r="S109" t="str">
            <v/>
          </cell>
          <cell r="T109" t="str">
            <v/>
          </cell>
          <cell r="U109" t="str">
            <v/>
          </cell>
        </row>
        <row r="110">
          <cell r="G110" t="str">
            <v>Ratio of power limited to rated acceleration - 100% speed, no grade (%)</v>
          </cell>
          <cell r="J110">
            <v>0.93580952380952376</v>
          </cell>
          <cell r="K110">
            <v>0.74497959183673479</v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  <cell r="S110" t="str">
            <v/>
          </cell>
          <cell r="T110" t="str">
            <v/>
          </cell>
          <cell r="U110" t="str">
            <v/>
          </cell>
        </row>
        <row r="111">
          <cell r="F111">
            <v>0</v>
          </cell>
          <cell r="G111" t="str">
            <v>Power limited max speed - no grade (m/s)</v>
          </cell>
          <cell r="I111" t="str">
            <v>P(Eff)/(m(gc))</v>
          </cell>
          <cell r="J111">
            <v>5.0390526581002772</v>
          </cell>
          <cell r="K111">
            <v>3.44185293164885</v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  <cell r="S111" t="str">
            <v/>
          </cell>
          <cell r="T111" t="str">
            <v/>
          </cell>
          <cell r="U111" t="str">
            <v/>
          </cell>
        </row>
        <row r="112">
          <cell r="G112" t="str">
            <v>Power limited max speed - 100% acc, no grade (m/s)</v>
          </cell>
          <cell r="I112" t="str">
            <v>P(Eff)/(m(a+gc))</v>
          </cell>
          <cell r="J112">
            <v>1.8658456945610595</v>
          </cell>
          <cell r="K112">
            <v>1.1533868866695616</v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  <cell r="S112" t="str">
            <v/>
          </cell>
          <cell r="T112" t="str">
            <v/>
          </cell>
          <cell r="U112" t="str">
            <v/>
          </cell>
        </row>
        <row r="113">
          <cell r="G113" t="str">
            <v>Ratio of power limited to rated speed - 100% acc no grade (%)</v>
          </cell>
          <cell r="J113">
            <v>0.95957778577425923</v>
          </cell>
          <cell r="K113">
            <v>0.83043855840208436</v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</row>
        <row r="114">
          <cell r="G114" t="str">
            <v>delta</v>
          </cell>
          <cell r="J114">
            <v>1.746638886297442E-2</v>
          </cell>
          <cell r="K114">
            <v>5.2333778270961612E-2</v>
          </cell>
          <cell r="L114" t="e">
            <v>#VALUE!</v>
          </cell>
          <cell r="M114" t="e">
            <v>#VALUE!</v>
          </cell>
          <cell r="N114" t="e">
            <v>#VALUE!</v>
          </cell>
          <cell r="O114" t="e">
            <v>#VALUE!</v>
          </cell>
          <cell r="P114" t="e">
            <v>#VALUE!</v>
          </cell>
          <cell r="Q114" t="e">
            <v>#VALUE!</v>
          </cell>
          <cell r="R114" t="e">
            <v>#VALUE!</v>
          </cell>
          <cell r="S114" t="e">
            <v>#VALUE!</v>
          </cell>
          <cell r="T114" t="e">
            <v>#VALUE!</v>
          </cell>
          <cell r="U114" t="e">
            <v>#VALUE!</v>
          </cell>
        </row>
        <row r="115">
          <cell r="G115" t="str">
            <v>u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</row>
        <row r="116">
          <cell r="G116" t="str">
            <v>v</v>
          </cell>
          <cell r="J116">
            <v>1.8658456945610595</v>
          </cell>
          <cell r="K116">
            <v>1.1533868866695616</v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 t="str">
            <v/>
          </cell>
          <cell r="T116" t="str">
            <v/>
          </cell>
          <cell r="U116" t="str">
            <v/>
          </cell>
        </row>
        <row r="117">
          <cell r="G117" t="str">
            <v>a</v>
          </cell>
          <cell r="J117">
            <v>0.3</v>
          </cell>
          <cell r="K117">
            <v>0.35</v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  <cell r="S117" t="str">
            <v/>
          </cell>
          <cell r="T117" t="str">
            <v/>
          </cell>
          <cell r="U117" t="str">
            <v/>
          </cell>
        </row>
        <row r="118">
          <cell r="G118" t="str">
            <v>t</v>
          </cell>
          <cell r="J118">
            <v>6.2194856485368657</v>
          </cell>
          <cell r="K118">
            <v>3.295391104770176</v>
          </cell>
          <cell r="L118" t="e">
            <v>#VALUE!</v>
          </cell>
          <cell r="M118" t="e">
            <v>#VALUE!</v>
          </cell>
          <cell r="N118" t="e">
            <v>#VALUE!</v>
          </cell>
          <cell r="O118" t="e">
            <v>#VALUE!</v>
          </cell>
          <cell r="P118" t="e">
            <v>#VALUE!</v>
          </cell>
          <cell r="Q118" t="e">
            <v>#VALUE!</v>
          </cell>
          <cell r="R118" t="e">
            <v>#VALUE!</v>
          </cell>
          <cell r="S118" t="e">
            <v>#VALUE!</v>
          </cell>
          <cell r="T118" t="e">
            <v>#VALUE!</v>
          </cell>
          <cell r="U118" t="e">
            <v>#VALUE!</v>
          </cell>
        </row>
        <row r="119">
          <cell r="G119" t="str">
            <v>s</v>
          </cell>
          <cell r="J119">
            <v>5.8023002598534053</v>
          </cell>
          <cell r="K119">
            <v>1.9004304433447201</v>
          </cell>
          <cell r="L119" t="e">
            <v>#VALUE!</v>
          </cell>
          <cell r="M119" t="e">
            <v>#VALUE!</v>
          </cell>
          <cell r="N119" t="e">
            <v>#VALUE!</v>
          </cell>
          <cell r="O119" t="e">
            <v>#VALUE!</v>
          </cell>
          <cell r="P119" t="e">
            <v>#VALUE!</v>
          </cell>
          <cell r="Q119" t="e">
            <v>#VALUE!</v>
          </cell>
          <cell r="R119" t="e">
            <v>#VALUE!</v>
          </cell>
          <cell r="S119" t="e">
            <v>#VALUE!</v>
          </cell>
          <cell r="T119" t="e">
            <v>#VALUE!</v>
          </cell>
          <cell r="U119" t="e">
            <v>#VALUE!</v>
          </cell>
        </row>
        <row r="120">
          <cell r="G120" t="str">
            <v>u</v>
          </cell>
          <cell r="J120">
            <v>1.8658456945610595</v>
          </cell>
          <cell r="K120">
            <v>1.1533868866695616</v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  <cell r="S120" t="str">
            <v/>
          </cell>
          <cell r="T120" t="str">
            <v/>
          </cell>
          <cell r="U120" t="str">
            <v/>
          </cell>
        </row>
        <row r="121">
          <cell r="G121" t="str">
            <v>v</v>
          </cell>
          <cell r="J121">
            <v>1.883312083424034</v>
          </cell>
          <cell r="K121">
            <v>1.2057206649405232</v>
          </cell>
          <cell r="L121" t="e">
            <v>#VALUE!</v>
          </cell>
          <cell r="M121" t="e">
            <v>#VALUE!</v>
          </cell>
          <cell r="N121" t="e">
            <v>#VALUE!</v>
          </cell>
          <cell r="O121" t="e">
            <v>#VALUE!</v>
          </cell>
          <cell r="P121" t="e">
            <v>#VALUE!</v>
          </cell>
          <cell r="Q121" t="e">
            <v>#VALUE!</v>
          </cell>
          <cell r="R121" t="e">
            <v>#VALUE!</v>
          </cell>
          <cell r="S121" t="e">
            <v>#VALUE!</v>
          </cell>
          <cell r="T121" t="e">
            <v>#VALUE!</v>
          </cell>
          <cell r="U121" t="e">
            <v>#VALUE!</v>
          </cell>
        </row>
        <row r="122">
          <cell r="G122" t="str">
            <v>a</v>
          </cell>
          <cell r="J122">
            <v>0.29558172661474541</v>
          </cell>
          <cell r="K122">
            <v>0.32715183816378135</v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</row>
        <row r="123">
          <cell r="G123" t="str">
            <v>t</v>
          </cell>
          <cell r="J123">
            <v>5.9091571941927816E-2</v>
          </cell>
          <cell r="K123">
            <v>0.15996785640789182</v>
          </cell>
          <cell r="L123" t="e">
            <v>#VALUE!</v>
          </cell>
          <cell r="M123" t="e">
            <v>#VALUE!</v>
          </cell>
          <cell r="N123" t="e">
            <v>#VALUE!</v>
          </cell>
          <cell r="O123" t="e">
            <v>#VALUE!</v>
          </cell>
          <cell r="P123" t="e">
            <v>#VALUE!</v>
          </cell>
          <cell r="Q123" t="e">
            <v>#VALUE!</v>
          </cell>
          <cell r="R123" t="e">
            <v>#VALUE!</v>
          </cell>
          <cell r="S123" t="e">
            <v>#VALUE!</v>
          </cell>
          <cell r="T123" t="e">
            <v>#VALUE!</v>
          </cell>
          <cell r="U123" t="e">
            <v>#VALUE!</v>
          </cell>
        </row>
        <row r="124">
          <cell r="G124" t="str">
            <v>s</v>
          </cell>
          <cell r="J124">
            <v>0.1107718132797222</v>
          </cell>
          <cell r="K124">
            <v>0.18869068903336764</v>
          </cell>
          <cell r="L124" t="e">
            <v>#VALUE!</v>
          </cell>
          <cell r="M124" t="e">
            <v>#VALUE!</v>
          </cell>
          <cell r="N124" t="e">
            <v>#VALUE!</v>
          </cell>
          <cell r="O124" t="e">
            <v>#VALUE!</v>
          </cell>
          <cell r="P124" t="e">
            <v>#VALUE!</v>
          </cell>
          <cell r="Q124" t="e">
            <v>#VALUE!</v>
          </cell>
          <cell r="R124" t="e">
            <v>#VALUE!</v>
          </cell>
          <cell r="S124" t="e">
            <v>#VALUE!</v>
          </cell>
          <cell r="T124" t="e">
            <v>#VALUE!</v>
          </cell>
          <cell r="U124" t="e">
            <v>#VALUE!</v>
          </cell>
        </row>
        <row r="125">
          <cell r="G125" t="str">
            <v>u</v>
          </cell>
          <cell r="J125">
            <v>1.883312083424034</v>
          </cell>
          <cell r="K125">
            <v>1.2057206649405232</v>
          </cell>
          <cell r="L125" t="e">
            <v>#VALUE!</v>
          </cell>
          <cell r="M125" t="e">
            <v>#VALUE!</v>
          </cell>
          <cell r="N125" t="e">
            <v>#VALUE!</v>
          </cell>
          <cell r="O125" t="e">
            <v>#VALUE!</v>
          </cell>
          <cell r="P125" t="e">
            <v>#VALUE!</v>
          </cell>
          <cell r="Q125" t="e">
            <v>#VALUE!</v>
          </cell>
          <cell r="R125" t="e">
            <v>#VALUE!</v>
          </cell>
          <cell r="S125" t="e">
            <v>#VALUE!</v>
          </cell>
          <cell r="T125" t="e">
            <v>#VALUE!</v>
          </cell>
          <cell r="U125" t="e">
            <v>#VALUE!</v>
          </cell>
        </row>
        <row r="126">
          <cell r="G126" t="str">
            <v>v</v>
          </cell>
          <cell r="J126">
            <v>1.9007784722870085</v>
          </cell>
          <cell r="K126">
            <v>1.2580544432114849</v>
          </cell>
          <cell r="L126" t="e">
            <v>#VALUE!</v>
          </cell>
          <cell r="M126" t="e">
            <v>#VALUE!</v>
          </cell>
          <cell r="N126" t="e">
            <v>#VALUE!</v>
          </cell>
          <cell r="O126" t="e">
            <v>#VALUE!</v>
          </cell>
          <cell r="P126" t="e">
            <v>#VALUE!</v>
          </cell>
          <cell r="Q126" t="e">
            <v>#VALUE!</v>
          </cell>
          <cell r="R126" t="e">
            <v>#VALUE!</v>
          </cell>
          <cell r="S126" t="e">
            <v>#VALUE!</v>
          </cell>
          <cell r="T126" t="e">
            <v>#VALUE!</v>
          </cell>
          <cell r="U126" t="e">
            <v>#VALUE!</v>
          </cell>
        </row>
        <row r="127">
          <cell r="G127" t="str">
            <v>a</v>
          </cell>
          <cell r="J127">
            <v>0.29124465288760432</v>
          </cell>
          <cell r="K127">
            <v>0.3062045966603637</v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  <cell r="S127" t="str">
            <v/>
          </cell>
          <cell r="T127" t="str">
            <v/>
          </cell>
          <cell r="U127" t="str">
            <v/>
          </cell>
        </row>
        <row r="128">
          <cell r="G128" t="str">
            <v>t</v>
          </cell>
          <cell r="J128">
            <v>5.997153489274535E-2</v>
          </cell>
          <cell r="K128">
            <v>0.17091114516810885</v>
          </cell>
          <cell r="L128" t="e">
            <v>#VALUE!</v>
          </cell>
          <cell r="M128" t="e">
            <v>#VALUE!</v>
          </cell>
          <cell r="N128" t="e">
            <v>#VALUE!</v>
          </cell>
          <cell r="O128" t="e">
            <v>#VALUE!</v>
          </cell>
          <cell r="P128" t="e">
            <v>#VALUE!</v>
          </cell>
          <cell r="Q128" t="e">
            <v>#VALUE!</v>
          </cell>
          <cell r="R128" t="e">
            <v>#VALUE!</v>
          </cell>
          <cell r="S128" t="e">
            <v>#VALUE!</v>
          </cell>
          <cell r="T128" t="e">
            <v>#VALUE!</v>
          </cell>
          <cell r="U128" t="e">
            <v>#VALUE!</v>
          </cell>
        </row>
        <row r="129">
          <cell r="G129" t="str">
            <v>s</v>
          </cell>
          <cell r="J129">
            <v>0.11346885939956645</v>
          </cell>
          <cell r="K129">
            <v>0.21054331258547046</v>
          </cell>
          <cell r="L129" t="e">
            <v>#VALUE!</v>
          </cell>
          <cell r="M129" t="e">
            <v>#VALUE!</v>
          </cell>
          <cell r="N129" t="e">
            <v>#VALUE!</v>
          </cell>
          <cell r="O129" t="e">
            <v>#VALUE!</v>
          </cell>
          <cell r="P129" t="e">
            <v>#VALUE!</v>
          </cell>
          <cell r="Q129" t="e">
            <v>#VALUE!</v>
          </cell>
          <cell r="R129" t="e">
            <v>#VALUE!</v>
          </cell>
          <cell r="S129" t="e">
            <v>#VALUE!</v>
          </cell>
          <cell r="T129" t="e">
            <v>#VALUE!</v>
          </cell>
          <cell r="U129" t="e">
            <v>#VALUE!</v>
          </cell>
        </row>
        <row r="130">
          <cell r="G130" t="str">
            <v>u</v>
          </cell>
          <cell r="J130">
            <v>1.9007784722870085</v>
          </cell>
          <cell r="K130">
            <v>1.2580544432114849</v>
          </cell>
          <cell r="L130" t="e">
            <v>#VALUE!</v>
          </cell>
          <cell r="M130" t="e">
            <v>#VALUE!</v>
          </cell>
          <cell r="N130" t="e">
            <v>#VALUE!</v>
          </cell>
          <cell r="O130" t="e">
            <v>#VALUE!</v>
          </cell>
          <cell r="P130" t="e">
            <v>#VALUE!</v>
          </cell>
          <cell r="Q130" t="e">
            <v>#VALUE!</v>
          </cell>
          <cell r="R130" t="e">
            <v>#VALUE!</v>
          </cell>
          <cell r="S130" t="e">
            <v>#VALUE!</v>
          </cell>
          <cell r="T130" t="e">
            <v>#VALUE!</v>
          </cell>
          <cell r="U130" t="e">
            <v>#VALUE!</v>
          </cell>
        </row>
        <row r="131">
          <cell r="G131" t="str">
            <v>v</v>
          </cell>
          <cell r="J131">
            <v>1.9182448611499829</v>
          </cell>
          <cell r="K131">
            <v>1.3103882214824465</v>
          </cell>
          <cell r="L131" t="e">
            <v>#VALUE!</v>
          </cell>
          <cell r="M131" t="e">
            <v>#VALUE!</v>
          </cell>
          <cell r="N131" t="e">
            <v>#VALUE!</v>
          </cell>
          <cell r="O131" t="e">
            <v>#VALUE!</v>
          </cell>
          <cell r="P131" t="e">
            <v>#VALUE!</v>
          </cell>
          <cell r="Q131" t="e">
            <v>#VALUE!</v>
          </cell>
          <cell r="R131" t="e">
            <v>#VALUE!</v>
          </cell>
          <cell r="S131" t="e">
            <v>#VALUE!</v>
          </cell>
          <cell r="T131" t="e">
            <v>#VALUE!</v>
          </cell>
          <cell r="U131" t="e">
            <v>#VALUE!</v>
          </cell>
        </row>
        <row r="132">
          <cell r="G132" t="str">
            <v>a</v>
          </cell>
          <cell r="J132">
            <v>0.2869865607522088</v>
          </cell>
          <cell r="K132">
            <v>0.28693052082534326</v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  <cell r="S132" t="str">
            <v/>
          </cell>
          <cell r="T132" t="str">
            <v/>
          </cell>
          <cell r="U132" t="str">
            <v/>
          </cell>
        </row>
        <row r="133">
          <cell r="G133" t="str">
            <v>t</v>
          </cell>
          <cell r="J133">
            <v>6.0861347713265831E-2</v>
          </cell>
          <cell r="K133">
            <v>0.18239181429854789</v>
          </cell>
          <cell r="L133" t="e">
            <v>#VALUE!</v>
          </cell>
          <cell r="M133" t="e">
            <v>#VALUE!</v>
          </cell>
          <cell r="N133" t="e">
            <v>#VALUE!</v>
          </cell>
          <cell r="O133" t="e">
            <v>#VALUE!</v>
          </cell>
          <cell r="P133" t="e">
            <v>#VALUE!</v>
          </cell>
          <cell r="Q133" t="e">
            <v>#VALUE!</v>
          </cell>
          <cell r="R133" t="e">
            <v>#VALUE!</v>
          </cell>
          <cell r="S133" t="e">
            <v>#VALUE!</v>
          </cell>
          <cell r="T133" t="e">
            <v>#VALUE!</v>
          </cell>
          <cell r="U133" t="e">
            <v>#VALUE!</v>
          </cell>
        </row>
        <row r="134">
          <cell r="G134" t="str">
            <v>s</v>
          </cell>
          <cell r="J134">
            <v>0.11621545351069215</v>
          </cell>
          <cell r="K134">
            <v>0.23423145876766152</v>
          </cell>
          <cell r="L134" t="e">
            <v>#VALUE!</v>
          </cell>
          <cell r="M134" t="e">
            <v>#VALUE!</v>
          </cell>
          <cell r="N134" t="e">
            <v>#VALUE!</v>
          </cell>
          <cell r="O134" t="e">
            <v>#VALUE!</v>
          </cell>
          <cell r="P134" t="e">
            <v>#VALUE!</v>
          </cell>
          <cell r="Q134" t="e">
            <v>#VALUE!</v>
          </cell>
          <cell r="R134" t="e">
            <v>#VALUE!</v>
          </cell>
          <cell r="S134" t="e">
            <v>#VALUE!</v>
          </cell>
          <cell r="T134" t="e">
            <v>#VALUE!</v>
          </cell>
          <cell r="U134" t="e">
            <v>#VALUE!</v>
          </cell>
        </row>
        <row r="135">
          <cell r="G135" t="str">
            <v>u</v>
          </cell>
          <cell r="J135">
            <v>1.9182448611499829</v>
          </cell>
          <cell r="K135">
            <v>1.3103882214824465</v>
          </cell>
          <cell r="L135" t="e">
            <v>#VALUE!</v>
          </cell>
          <cell r="M135" t="e">
            <v>#VALUE!</v>
          </cell>
          <cell r="N135" t="e">
            <v>#VALUE!</v>
          </cell>
          <cell r="O135" t="e">
            <v>#VALUE!</v>
          </cell>
          <cell r="P135" t="e">
            <v>#VALUE!</v>
          </cell>
          <cell r="Q135" t="e">
            <v>#VALUE!</v>
          </cell>
          <cell r="R135" t="e">
            <v>#VALUE!</v>
          </cell>
          <cell r="S135" t="e">
            <v>#VALUE!</v>
          </cell>
          <cell r="T135" t="e">
            <v>#VALUE!</v>
          </cell>
          <cell r="U135" t="e">
            <v>#VALUE!</v>
          </cell>
        </row>
        <row r="136">
          <cell r="G136" t="str">
            <v>v</v>
          </cell>
          <cell r="J136">
            <v>1.9357112500129574</v>
          </cell>
          <cell r="K136">
            <v>1.3627219997534081</v>
          </cell>
          <cell r="L136" t="e">
            <v>#VALUE!</v>
          </cell>
          <cell r="M136" t="e">
            <v>#VALUE!</v>
          </cell>
          <cell r="N136" t="e">
            <v>#VALUE!</v>
          </cell>
          <cell r="O136" t="e">
            <v>#VALUE!</v>
          </cell>
          <cell r="P136" t="e">
            <v>#VALUE!</v>
          </cell>
          <cell r="Q136" t="e">
            <v>#VALUE!</v>
          </cell>
          <cell r="R136" t="e">
            <v>#VALUE!</v>
          </cell>
          <cell r="S136" t="e">
            <v>#VALUE!</v>
          </cell>
          <cell r="T136" t="e">
            <v>#VALUE!</v>
          </cell>
          <cell r="U136" t="e">
            <v>#VALUE!</v>
          </cell>
        </row>
        <row r="137">
          <cell r="G137" t="str">
            <v>a</v>
          </cell>
          <cell r="J137">
            <v>0.28280531219877897</v>
          </cell>
          <cell r="K137">
            <v>0.26913684262287019</v>
          </cell>
          <cell r="L137" t="str">
            <v/>
          </cell>
          <cell r="M137" t="str">
            <v/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  <cell r="S137" t="str">
            <v/>
          </cell>
          <cell r="T137" t="str">
            <v/>
          </cell>
          <cell r="U137" t="str">
            <v/>
          </cell>
        </row>
        <row r="138">
          <cell r="G138" t="str">
            <v>t</v>
          </cell>
          <cell r="J138">
            <v>6.1761176716148974E-2</v>
          </cell>
          <cell r="K138">
            <v>0.19445044298262315</v>
          </cell>
          <cell r="L138" t="e">
            <v>#VALUE!</v>
          </cell>
          <cell r="M138" t="e">
            <v>#VALUE!</v>
          </cell>
          <cell r="N138" t="e">
            <v>#VALUE!</v>
          </cell>
          <cell r="O138" t="e">
            <v>#VALUE!</v>
          </cell>
          <cell r="P138" t="e">
            <v>#VALUE!</v>
          </cell>
          <cell r="Q138" t="e">
            <v>#VALUE!</v>
          </cell>
          <cell r="R138" t="e">
            <v>#VALUE!</v>
          </cell>
          <cell r="S138" t="e">
            <v>#VALUE!</v>
          </cell>
          <cell r="T138" t="e">
            <v>#VALUE!</v>
          </cell>
          <cell r="U138" t="e">
            <v>#VALUE!</v>
          </cell>
        </row>
        <row r="139">
          <cell r="G139" t="str">
            <v>s</v>
          </cell>
          <cell r="J139">
            <v>0.11901243221890832</v>
          </cell>
          <cell r="K139">
            <v>0.25989373333034488</v>
          </cell>
          <cell r="L139" t="e">
            <v>#VALUE!</v>
          </cell>
          <cell r="M139" t="e">
            <v>#VALUE!</v>
          </cell>
          <cell r="N139" t="e">
            <v>#VALUE!</v>
          </cell>
          <cell r="O139" t="e">
            <v>#VALUE!</v>
          </cell>
          <cell r="P139" t="e">
            <v>#VALUE!</v>
          </cell>
          <cell r="Q139" t="e">
            <v>#VALUE!</v>
          </cell>
          <cell r="R139" t="e">
            <v>#VALUE!</v>
          </cell>
          <cell r="S139" t="e">
            <v>#VALUE!</v>
          </cell>
          <cell r="T139" t="e">
            <v>#VALUE!</v>
          </cell>
          <cell r="U139" t="e">
            <v>#VALUE!</v>
          </cell>
        </row>
        <row r="140">
          <cell r="G140" t="str">
            <v>Distance to reach full speed - power limited acc, 100% speed, no grade, full load (m)</v>
          </cell>
          <cell r="I140" t="str">
            <v>s</v>
          </cell>
          <cell r="J140">
            <v>6.2617688182622944</v>
          </cell>
          <cell r="K140">
            <v>2.7937896370615647</v>
          </cell>
          <cell r="L140" t="str">
            <v/>
          </cell>
          <cell r="M140" t="str">
            <v/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</row>
        <row r="141">
          <cell r="G141" t="str">
            <v>Duration generative drive power during acceleration - power limited acc, 100% speed, no grade, full load (s)</v>
          </cell>
          <cell r="I141" t="str">
            <v>t</v>
          </cell>
          <cell r="J141">
            <v>6.4611712798009533</v>
          </cell>
          <cell r="K141">
            <v>4.0031123636273476</v>
          </cell>
          <cell r="L141" t="str">
            <v/>
          </cell>
          <cell r="M141" t="str">
            <v/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</row>
        <row r="142">
          <cell r="G142" t="str">
            <v>Generative drive energy during acceleration - power limited acc, 100% speed, no grade, full load (kwh)</v>
          </cell>
          <cell r="I142" t="str">
            <v>E=(KE+msg(c+Gr))/(Eff)</v>
          </cell>
          <cell r="J142">
            <v>7.4875202957672499E-2</v>
          </cell>
          <cell r="K142">
            <v>2.0002577752392475E-2</v>
          </cell>
          <cell r="L142" t="str">
            <v/>
          </cell>
          <cell r="M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  <cell r="S142" t="str">
            <v/>
          </cell>
          <cell r="T142" t="str">
            <v/>
          </cell>
          <cell r="U142" t="str">
            <v/>
          </cell>
        </row>
        <row r="143">
          <cell r="G143" t="str">
            <v>Average generative drive power during acceleration - power limited acc, 100% speed, no grade, full load (kw)</v>
          </cell>
          <cell r="I143" t="str">
            <v>P=E/t</v>
          </cell>
          <cell r="J143">
            <v>41.718555192971905</v>
          </cell>
          <cell r="K143">
            <v>17.98832342626601</v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  <cell r="S143" t="str">
            <v/>
          </cell>
          <cell r="T143" t="str">
            <v/>
          </cell>
          <cell r="U143" t="str">
            <v/>
          </cell>
        </row>
        <row r="144">
          <cell r="F144" t="str">
            <v>Power limited drive performance - full grade (accelerating)</v>
          </cell>
          <cell r="G144">
            <v>0</v>
          </cell>
        </row>
        <row r="145">
          <cell r="G145" t="str">
            <v>Power limited acceleration - 100% speed, full grade (m/s^2)</v>
          </cell>
          <cell r="I145" t="str">
            <v>P(Efff)/mv-gc-g.Gr</v>
          </cell>
          <cell r="J145">
            <v>8.474285714285712E-2</v>
          </cell>
          <cell r="K145">
            <v>-3.3257142857142818E-2</v>
          </cell>
          <cell r="L145" t="str">
            <v/>
          </cell>
          <cell r="M145" t="str">
            <v/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  <cell r="S145" t="str">
            <v/>
          </cell>
          <cell r="T145" t="str">
            <v/>
          </cell>
          <cell r="U145" t="str">
            <v/>
          </cell>
        </row>
        <row r="146">
          <cell r="G146" t="str">
            <v>Ratio of power limited to rated acceleration - 100% speed, full grade (%)</v>
          </cell>
          <cell r="J146">
            <v>0.28247619047619044</v>
          </cell>
          <cell r="K146">
            <v>-9.5020408163265208E-2</v>
          </cell>
          <cell r="L146" t="str">
            <v/>
          </cell>
          <cell r="M146" t="str">
            <v/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  <cell r="S146" t="str">
            <v/>
          </cell>
          <cell r="T146" t="str">
            <v/>
          </cell>
          <cell r="U146" t="str">
            <v/>
          </cell>
        </row>
        <row r="147">
          <cell r="F147">
            <v>0</v>
          </cell>
          <cell r="G147" t="str">
            <v>Power limited max speed - full grade (m/s)</v>
          </cell>
          <cell r="I147" t="str">
            <v>P(Eff)/(m(gc+g.Gr))</v>
          </cell>
          <cell r="J147">
            <v>2.3869196801527628</v>
          </cell>
          <cell r="K147">
            <v>1.2906948493683188</v>
          </cell>
          <cell r="L147" t="str">
            <v/>
          </cell>
          <cell r="M147" t="str">
            <v/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  <cell r="S147" t="str">
            <v/>
          </cell>
          <cell r="T147" t="str">
            <v/>
          </cell>
          <cell r="U147" t="str">
            <v/>
          </cell>
        </row>
        <row r="148">
          <cell r="G148" t="str">
            <v>Power limited max speed - 100% acc, full grade (m/s)</v>
          </cell>
          <cell r="I148" t="str">
            <v>P(Eff)/(m(a+gc+g.Gr))</v>
          </cell>
          <cell r="J148">
            <v>1.3219644391565866</v>
          </cell>
          <cell r="K148">
            <v>0.74005711499616911</v>
          </cell>
          <cell r="L148" t="str">
            <v/>
          </cell>
          <cell r="M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/>
          </cell>
          <cell r="T148" t="str">
            <v/>
          </cell>
          <cell r="U148" t="str">
            <v/>
          </cell>
        </row>
        <row r="149">
          <cell r="G149" t="str">
            <v>Ratio of power limited to rated speed - 100% acc full grade (%)</v>
          </cell>
          <cell r="J149">
            <v>0.67986742585195881</v>
          </cell>
          <cell r="K149">
            <v>0.53284112279724183</v>
          </cell>
          <cell r="L149" t="str">
            <v/>
          </cell>
          <cell r="M149" t="str">
            <v/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  <cell r="S149" t="str">
            <v/>
          </cell>
          <cell r="T149" t="str">
            <v/>
          </cell>
          <cell r="U149" t="str">
            <v/>
          </cell>
        </row>
        <row r="150">
          <cell r="G150" t="str">
            <v>delta</v>
          </cell>
          <cell r="H150">
            <v>0</v>
          </cell>
          <cell r="I150">
            <v>0</v>
          </cell>
          <cell r="J150">
            <v>0.13832889006396842</v>
          </cell>
          <cell r="K150">
            <v>0.12236394097158881</v>
          </cell>
          <cell r="L150" t="e">
            <v>#VALUE!</v>
          </cell>
          <cell r="M150" t="e">
            <v>#VALUE!</v>
          </cell>
          <cell r="N150" t="e">
            <v>#VALUE!</v>
          </cell>
          <cell r="O150" t="e">
            <v>#VALUE!</v>
          </cell>
          <cell r="P150" t="e">
            <v>#VALUE!</v>
          </cell>
          <cell r="Q150" t="e">
            <v>#VALUE!</v>
          </cell>
          <cell r="R150" t="e">
            <v>#VALUE!</v>
          </cell>
          <cell r="S150" t="e">
            <v>#VALUE!</v>
          </cell>
          <cell r="T150" t="e">
            <v>#VALUE!</v>
          </cell>
          <cell r="U150" t="e">
            <v>#VALUE!</v>
          </cell>
        </row>
        <row r="151">
          <cell r="G151" t="str">
            <v>u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</row>
        <row r="152">
          <cell r="G152" t="str">
            <v>v</v>
          </cell>
          <cell r="J152">
            <v>1.3219644391565866</v>
          </cell>
          <cell r="K152">
            <v>0.74005711499616911</v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  <cell r="T152" t="str">
            <v/>
          </cell>
          <cell r="U152" t="str">
            <v/>
          </cell>
        </row>
        <row r="153">
          <cell r="G153" t="str">
            <v>a</v>
          </cell>
          <cell r="J153">
            <v>0.3</v>
          </cell>
          <cell r="K153">
            <v>0.35</v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/>
          </cell>
          <cell r="T153" t="str">
            <v/>
          </cell>
          <cell r="U153" t="str">
            <v/>
          </cell>
        </row>
        <row r="154">
          <cell r="G154" t="str">
            <v>t</v>
          </cell>
          <cell r="J154">
            <v>4.4065481305219558</v>
          </cell>
          <cell r="K154">
            <v>2.1144488999890547</v>
          </cell>
          <cell r="L154" t="e">
            <v>#VALUE!</v>
          </cell>
          <cell r="M154" t="e">
            <v>#VALUE!</v>
          </cell>
          <cell r="N154" t="e">
            <v>#VALUE!</v>
          </cell>
          <cell r="O154" t="e">
            <v>#VALUE!</v>
          </cell>
          <cell r="P154" t="e">
            <v>#VALUE!</v>
          </cell>
          <cell r="Q154" t="e">
            <v>#VALUE!</v>
          </cell>
          <cell r="R154" t="e">
            <v>#VALUE!</v>
          </cell>
          <cell r="S154" t="e">
            <v>#VALUE!</v>
          </cell>
          <cell r="T154" t="e">
            <v>#VALUE!</v>
          </cell>
          <cell r="U154" t="e">
            <v>#VALUE!</v>
          </cell>
        </row>
        <row r="155">
          <cell r="G155" t="str">
            <v>s</v>
          </cell>
          <cell r="J155">
            <v>2.9126499639909817</v>
          </cell>
          <cell r="K155">
            <v>0.78240647636636163</v>
          </cell>
          <cell r="L155" t="e">
            <v>#VALUE!</v>
          </cell>
          <cell r="M155" t="e">
            <v>#VALUE!</v>
          </cell>
          <cell r="N155" t="e">
            <v>#VALUE!</v>
          </cell>
          <cell r="O155" t="e">
            <v>#VALUE!</v>
          </cell>
          <cell r="P155" t="e">
            <v>#VALUE!</v>
          </cell>
          <cell r="Q155" t="e">
            <v>#VALUE!</v>
          </cell>
          <cell r="R155" t="e">
            <v>#VALUE!</v>
          </cell>
          <cell r="S155" t="e">
            <v>#VALUE!</v>
          </cell>
          <cell r="T155" t="e">
            <v>#VALUE!</v>
          </cell>
          <cell r="U155" t="e">
            <v>#VALUE!</v>
          </cell>
        </row>
        <row r="156">
          <cell r="G156" t="str">
            <v>u</v>
          </cell>
          <cell r="J156">
            <v>1.3219644391565866</v>
          </cell>
          <cell r="K156">
            <v>0.74005711499616911</v>
          </cell>
          <cell r="L156" t="str">
            <v/>
          </cell>
          <cell r="M156" t="str">
            <v/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  <cell r="S156" t="str">
            <v/>
          </cell>
          <cell r="T156" t="str">
            <v/>
          </cell>
          <cell r="U156" t="str">
            <v/>
          </cell>
        </row>
        <row r="157">
          <cell r="G157" t="str">
            <v>v</v>
          </cell>
          <cell r="H157">
            <v>0</v>
          </cell>
          <cell r="J157">
            <v>1.4602933292205549</v>
          </cell>
          <cell r="K157">
            <v>0.86242105596775787</v>
          </cell>
          <cell r="L157" t="e">
            <v>#VALUE!</v>
          </cell>
          <cell r="M157" t="e">
            <v>#VALUE!</v>
          </cell>
          <cell r="N157" t="e">
            <v>#VALUE!</v>
          </cell>
          <cell r="O157" t="e">
            <v>#VALUE!</v>
          </cell>
          <cell r="P157" t="e">
            <v>#VALUE!</v>
          </cell>
          <cell r="Q157" t="e">
            <v>#VALUE!</v>
          </cell>
          <cell r="R157" t="e">
            <v>#VALUE!</v>
          </cell>
          <cell r="S157" t="e">
            <v>#VALUE!</v>
          </cell>
          <cell r="T157" t="e">
            <v>#VALUE!</v>
          </cell>
          <cell r="U157" t="e">
            <v>#VALUE!</v>
          </cell>
        </row>
        <row r="158">
          <cell r="G158" t="str">
            <v>a</v>
          </cell>
          <cell r="H158">
            <v>0</v>
          </cell>
          <cell r="I158">
            <v>0</v>
          </cell>
          <cell r="J158">
            <v>0.2363057107652074</v>
          </cell>
          <cell r="K158">
            <v>0.23359818388195236</v>
          </cell>
          <cell r="L158" t="str">
            <v/>
          </cell>
          <cell r="M158" t="str">
            <v/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</row>
        <row r="159">
          <cell r="G159" t="str">
            <v>t</v>
          </cell>
          <cell r="J159">
            <v>0.58538107105423054</v>
          </cell>
          <cell r="K159">
            <v>0.52382231290558645</v>
          </cell>
          <cell r="L159" t="e">
            <v>#VALUE!</v>
          </cell>
          <cell r="M159" t="e">
            <v>#VALUE!</v>
          </cell>
          <cell r="N159" t="e">
            <v>#VALUE!</v>
          </cell>
          <cell r="O159" t="e">
            <v>#VALUE!</v>
          </cell>
          <cell r="P159" t="e">
            <v>#VALUE!</v>
          </cell>
          <cell r="Q159" t="e">
            <v>#VALUE!</v>
          </cell>
          <cell r="R159" t="e">
            <v>#VALUE!</v>
          </cell>
          <cell r="S159" t="e">
            <v>#VALUE!</v>
          </cell>
          <cell r="T159" t="e">
            <v>#VALUE!</v>
          </cell>
          <cell r="U159" t="e">
            <v>#VALUE!</v>
          </cell>
        </row>
        <row r="160">
          <cell r="G160" t="str">
            <v>s</v>
          </cell>
          <cell r="J160">
            <v>0.81434051620078218</v>
          </cell>
          <cell r="K160">
            <v>0.419706910947519</v>
          </cell>
          <cell r="L160" t="e">
            <v>#VALUE!</v>
          </cell>
          <cell r="M160" t="e">
            <v>#VALUE!</v>
          </cell>
          <cell r="N160" t="e">
            <v>#VALUE!</v>
          </cell>
          <cell r="O160" t="e">
            <v>#VALUE!</v>
          </cell>
          <cell r="P160" t="e">
            <v>#VALUE!</v>
          </cell>
          <cell r="Q160" t="e">
            <v>#VALUE!</v>
          </cell>
          <cell r="R160" t="e">
            <v>#VALUE!</v>
          </cell>
          <cell r="S160" t="e">
            <v>#VALUE!</v>
          </cell>
          <cell r="T160" t="e">
            <v>#VALUE!</v>
          </cell>
          <cell r="U160" t="e">
            <v>#VALUE!</v>
          </cell>
        </row>
        <row r="161">
          <cell r="G161" t="str">
            <v>u</v>
          </cell>
          <cell r="J161">
            <v>1.4602933292205549</v>
          </cell>
          <cell r="K161">
            <v>0.86242105596775787</v>
          </cell>
          <cell r="L161" t="e">
            <v>#VALUE!</v>
          </cell>
          <cell r="M161" t="e">
            <v>#VALUE!</v>
          </cell>
          <cell r="N161" t="e">
            <v>#VALUE!</v>
          </cell>
          <cell r="O161" t="e">
            <v>#VALUE!</v>
          </cell>
          <cell r="P161" t="e">
            <v>#VALUE!</v>
          </cell>
          <cell r="Q161" t="e">
            <v>#VALUE!</v>
          </cell>
          <cell r="R161" t="e">
            <v>#VALUE!</v>
          </cell>
          <cell r="S161" t="e">
            <v>#VALUE!</v>
          </cell>
          <cell r="T161" t="e">
            <v>#VALUE!</v>
          </cell>
          <cell r="U161" t="e">
            <v>#VALUE!</v>
          </cell>
        </row>
        <row r="162">
          <cell r="G162" t="str">
            <v>v</v>
          </cell>
          <cell r="H162">
            <v>0</v>
          </cell>
          <cell r="J162">
            <v>1.5986222192845232</v>
          </cell>
          <cell r="K162">
            <v>0.98478499693934674</v>
          </cell>
          <cell r="L162" t="e">
            <v>#VALUE!</v>
          </cell>
          <cell r="M162" t="e">
            <v>#VALUE!</v>
          </cell>
          <cell r="N162" t="e">
            <v>#VALUE!</v>
          </cell>
          <cell r="O162" t="e">
            <v>#VALUE!</v>
          </cell>
          <cell r="P162" t="e">
            <v>#VALUE!</v>
          </cell>
          <cell r="Q162" t="e">
            <v>#VALUE!</v>
          </cell>
          <cell r="R162" t="e">
            <v>#VALUE!</v>
          </cell>
          <cell r="S162" t="e">
            <v>#VALUE!</v>
          </cell>
          <cell r="T162" t="e">
            <v>#VALUE!</v>
          </cell>
          <cell r="U162" t="e">
            <v>#VALUE!</v>
          </cell>
        </row>
        <row r="163">
          <cell r="G163" t="str">
            <v>a</v>
          </cell>
          <cell r="H163">
            <v>0</v>
          </cell>
          <cell r="I163">
            <v>0</v>
          </cell>
          <cell r="J163">
            <v>0.18363436394542204</v>
          </cell>
          <cell r="K163">
            <v>0.14612326043737572</v>
          </cell>
          <cell r="L163" t="str">
            <v/>
          </cell>
          <cell r="M163" t="str">
            <v/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  <cell r="S163" t="str">
            <v/>
          </cell>
          <cell r="T163" t="str">
            <v/>
          </cell>
          <cell r="U163" t="str">
            <v/>
          </cell>
        </row>
        <row r="164">
          <cell r="G164" t="str">
            <v>t</v>
          </cell>
          <cell r="J164">
            <v>0.75328433683077445</v>
          </cell>
          <cell r="K164">
            <v>0.83740220828175793</v>
          </cell>
          <cell r="L164" t="e">
            <v>#VALUE!</v>
          </cell>
          <cell r="M164" t="e">
            <v>#VALUE!</v>
          </cell>
          <cell r="N164" t="e">
            <v>#VALUE!</v>
          </cell>
          <cell r="O164" t="e">
            <v>#VALUE!</v>
          </cell>
          <cell r="P164" t="e">
            <v>#VALUE!</v>
          </cell>
          <cell r="Q164" t="e">
            <v>#VALUE!</v>
          </cell>
          <cell r="R164" t="e">
            <v>#VALUE!</v>
          </cell>
          <cell r="S164" t="e">
            <v>#VALUE!</v>
          </cell>
          <cell r="T164" t="e">
            <v>#VALUE!</v>
          </cell>
          <cell r="U164" t="e">
            <v>#VALUE!</v>
          </cell>
        </row>
        <row r="165">
          <cell r="G165" t="str">
            <v>s</v>
          </cell>
          <cell r="J165">
            <v>1.1521165851884962</v>
          </cell>
          <cell r="K165">
            <v>0.77342721392791958</v>
          </cell>
          <cell r="L165" t="e">
            <v>#VALUE!</v>
          </cell>
          <cell r="M165" t="e">
            <v>#VALUE!</v>
          </cell>
          <cell r="N165" t="e">
            <v>#VALUE!</v>
          </cell>
          <cell r="O165" t="e">
            <v>#VALUE!</v>
          </cell>
          <cell r="P165" t="e">
            <v>#VALUE!</v>
          </cell>
          <cell r="Q165" t="e">
            <v>#VALUE!</v>
          </cell>
          <cell r="R165" t="e">
            <v>#VALUE!</v>
          </cell>
          <cell r="S165" t="e">
            <v>#VALUE!</v>
          </cell>
          <cell r="T165" t="e">
            <v>#VALUE!</v>
          </cell>
          <cell r="U165" t="e">
            <v>#VALUE!</v>
          </cell>
        </row>
        <row r="166">
          <cell r="G166" t="str">
            <v>u</v>
          </cell>
          <cell r="J166">
            <v>1.5986222192845232</v>
          </cell>
          <cell r="K166">
            <v>0.98478499693934674</v>
          </cell>
          <cell r="L166" t="e">
            <v>#VALUE!</v>
          </cell>
          <cell r="M166" t="e">
            <v>#VALUE!</v>
          </cell>
          <cell r="N166" t="e">
            <v>#VALUE!</v>
          </cell>
          <cell r="O166" t="e">
            <v>#VALUE!</v>
          </cell>
          <cell r="P166" t="e">
            <v>#VALUE!</v>
          </cell>
          <cell r="Q166" t="e">
            <v>#VALUE!</v>
          </cell>
          <cell r="R166" t="e">
            <v>#VALUE!</v>
          </cell>
          <cell r="S166" t="e">
            <v>#VALUE!</v>
          </cell>
          <cell r="T166" t="e">
            <v>#VALUE!</v>
          </cell>
          <cell r="U166" t="e">
            <v>#VALUE!</v>
          </cell>
        </row>
        <row r="167">
          <cell r="G167" t="str">
            <v>v</v>
          </cell>
          <cell r="H167">
            <v>0</v>
          </cell>
          <cell r="J167">
            <v>1.7369511093484915</v>
          </cell>
          <cell r="K167">
            <v>1.1071489379109356</v>
          </cell>
          <cell r="L167" t="e">
            <v>#VALUE!</v>
          </cell>
          <cell r="M167" t="e">
            <v>#VALUE!</v>
          </cell>
          <cell r="N167" t="e">
            <v>#VALUE!</v>
          </cell>
          <cell r="O167" t="e">
            <v>#VALUE!</v>
          </cell>
          <cell r="P167" t="e">
            <v>#VALUE!</v>
          </cell>
          <cell r="Q167" t="e">
            <v>#VALUE!</v>
          </cell>
          <cell r="R167" t="e">
            <v>#VALUE!</v>
          </cell>
          <cell r="S167" t="e">
            <v>#VALUE!</v>
          </cell>
          <cell r="T167" t="e">
            <v>#VALUE!</v>
          </cell>
          <cell r="U167" t="e">
            <v>#VALUE!</v>
          </cell>
        </row>
        <row r="168">
          <cell r="G168" t="str">
            <v>a</v>
          </cell>
          <cell r="H168">
            <v>0</v>
          </cell>
          <cell r="I168">
            <v>0</v>
          </cell>
          <cell r="J168">
            <v>0.1393523942411366</v>
          </cell>
          <cell r="K168">
            <v>7.7984084880636628E-2</v>
          </cell>
          <cell r="L168" t="str">
            <v/>
          </cell>
          <cell r="M168" t="str">
            <v/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  <cell r="S168" t="str">
            <v/>
          </cell>
          <cell r="T168" t="str">
            <v/>
          </cell>
          <cell r="U168" t="str">
            <v/>
          </cell>
        </row>
        <row r="169">
          <cell r="G169" t="str">
            <v>t</v>
          </cell>
          <cell r="J169">
            <v>0.99265528100366029</v>
          </cell>
          <cell r="K169">
            <v>1.569088630826156</v>
          </cell>
          <cell r="L169" t="e">
            <v>#VALUE!</v>
          </cell>
          <cell r="M169" t="e">
            <v>#VALUE!</v>
          </cell>
          <cell r="N169" t="e">
            <v>#VALUE!</v>
          </cell>
          <cell r="O169" t="e">
            <v>#VALUE!</v>
          </cell>
          <cell r="P169" t="e">
            <v>#VALUE!</v>
          </cell>
          <cell r="Q169" t="e">
            <v>#VALUE!</v>
          </cell>
          <cell r="R169" t="e">
            <v>#VALUE!</v>
          </cell>
          <cell r="S169" t="e">
            <v>#VALUE!</v>
          </cell>
          <cell r="T169" t="e">
            <v>#VALUE!</v>
          </cell>
          <cell r="U169" t="e">
            <v>#VALUE!</v>
          </cell>
        </row>
        <row r="170">
          <cell r="G170" t="str">
            <v>s</v>
          </cell>
          <cell r="J170">
            <v>1.65553723992126</v>
          </cell>
          <cell r="K170">
            <v>1.6412148768065014</v>
          </cell>
          <cell r="L170" t="e">
            <v>#VALUE!</v>
          </cell>
          <cell r="M170" t="e">
            <v>#VALUE!</v>
          </cell>
          <cell r="N170" t="e">
            <v>#VALUE!</v>
          </cell>
          <cell r="O170" t="e">
            <v>#VALUE!</v>
          </cell>
          <cell r="P170" t="e">
            <v>#VALUE!</v>
          </cell>
          <cell r="Q170" t="e">
            <v>#VALUE!</v>
          </cell>
          <cell r="R170" t="e">
            <v>#VALUE!</v>
          </cell>
          <cell r="S170" t="e">
            <v>#VALUE!</v>
          </cell>
          <cell r="T170" t="e">
            <v>#VALUE!</v>
          </cell>
          <cell r="U170" t="e">
            <v>#VALUE!</v>
          </cell>
        </row>
        <row r="171">
          <cell r="G171" t="str">
            <v>u</v>
          </cell>
          <cell r="J171">
            <v>1.7369511093484915</v>
          </cell>
          <cell r="K171">
            <v>1.1071489379109356</v>
          </cell>
          <cell r="L171" t="e">
            <v>#VALUE!</v>
          </cell>
          <cell r="M171" t="e">
            <v>#VALUE!</v>
          </cell>
          <cell r="N171" t="e">
            <v>#VALUE!</v>
          </cell>
          <cell r="O171" t="e">
            <v>#VALUE!</v>
          </cell>
          <cell r="P171" t="e">
            <v>#VALUE!</v>
          </cell>
          <cell r="Q171" t="e">
            <v>#VALUE!</v>
          </cell>
          <cell r="R171" t="e">
            <v>#VALUE!</v>
          </cell>
          <cell r="S171" t="e">
            <v>#VALUE!</v>
          </cell>
          <cell r="T171" t="e">
            <v>#VALUE!</v>
          </cell>
          <cell r="U171" t="e">
            <v>#VALUE!</v>
          </cell>
        </row>
        <row r="172">
          <cell r="G172" t="str">
            <v>v</v>
          </cell>
          <cell r="H172">
            <v>0</v>
          </cell>
          <cell r="J172">
            <v>1.8752799994124598</v>
          </cell>
          <cell r="K172">
            <v>1.2295128788825245</v>
          </cell>
          <cell r="L172" t="e">
            <v>#VALUE!</v>
          </cell>
          <cell r="M172" t="e">
            <v>#VALUE!</v>
          </cell>
          <cell r="N172" t="e">
            <v>#VALUE!</v>
          </cell>
          <cell r="O172" t="e">
            <v>#VALUE!</v>
          </cell>
          <cell r="P172" t="e">
            <v>#VALUE!</v>
          </cell>
          <cell r="Q172" t="e">
            <v>#VALUE!</v>
          </cell>
          <cell r="R172" t="e">
            <v>#VALUE!</v>
          </cell>
          <cell r="S172" t="e">
            <v>#VALUE!</v>
          </cell>
          <cell r="T172" t="e">
            <v>#VALUE!</v>
          </cell>
          <cell r="U172" t="e">
            <v>#VALUE!</v>
          </cell>
        </row>
        <row r="173">
          <cell r="G173" t="str">
            <v>a</v>
          </cell>
          <cell r="H173">
            <v>0</v>
          </cell>
          <cell r="I173">
            <v>0</v>
          </cell>
          <cell r="J173">
            <v>0.10160328973133864</v>
          </cell>
          <cell r="K173">
            <v>2.3407643312101878E-2</v>
          </cell>
          <cell r="L173" t="str">
            <v/>
          </cell>
          <cell r="M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  <cell r="S173" t="str">
            <v/>
          </cell>
          <cell r="T173" t="str">
            <v/>
          </cell>
          <cell r="U173" t="str">
            <v/>
          </cell>
        </row>
        <row r="174">
          <cell r="G174" t="str">
            <v>t</v>
          </cell>
          <cell r="J174">
            <v>1.361460740392759</v>
          </cell>
          <cell r="K174">
            <v>5.2275207435481574</v>
          </cell>
          <cell r="L174" t="e">
            <v>#VALUE!</v>
          </cell>
          <cell r="M174" t="e">
            <v>#VALUE!</v>
          </cell>
          <cell r="N174" t="e">
            <v>#VALUE!</v>
          </cell>
          <cell r="O174" t="e">
            <v>#VALUE!</v>
          </cell>
          <cell r="P174" t="e">
            <v>#VALUE!</v>
          </cell>
          <cell r="Q174" t="e">
            <v>#VALUE!</v>
          </cell>
          <cell r="R174" t="e">
            <v>#VALUE!</v>
          </cell>
          <cell r="S174" t="e">
            <v>#VALUE!</v>
          </cell>
          <cell r="T174" t="e">
            <v>#VALUE!</v>
          </cell>
          <cell r="U174" t="e">
            <v>#VALUE!</v>
          </cell>
        </row>
        <row r="175">
          <cell r="G175" t="str">
            <v>s</v>
          </cell>
          <cell r="J175">
            <v>2.4589554199017205</v>
          </cell>
          <cell r="K175">
            <v>6.1074740589723682</v>
          </cell>
          <cell r="L175" t="e">
            <v>#VALUE!</v>
          </cell>
          <cell r="M175" t="e">
            <v>#VALUE!</v>
          </cell>
          <cell r="N175" t="e">
            <v>#VALUE!</v>
          </cell>
          <cell r="O175" t="e">
            <v>#VALUE!</v>
          </cell>
          <cell r="P175" t="e">
            <v>#VALUE!</v>
          </cell>
          <cell r="Q175" t="e">
            <v>#VALUE!</v>
          </cell>
          <cell r="R175" t="e">
            <v>#VALUE!</v>
          </cell>
          <cell r="S175" t="e">
            <v>#VALUE!</v>
          </cell>
          <cell r="T175" t="e">
            <v>#VALUE!</v>
          </cell>
          <cell r="U175" t="e">
            <v>#VALUE!</v>
          </cell>
        </row>
        <row r="176">
          <cell r="G176" t="str">
            <v>Distance to reach full speed - power limited acc, 100% speed, full grade, full load (m)</v>
          </cell>
          <cell r="I176" t="str">
            <v>s</v>
          </cell>
          <cell r="J176">
            <v>8.9935997252032411</v>
          </cell>
          <cell r="K176">
            <v>9.7242295370206691</v>
          </cell>
          <cell r="L176" t="str">
            <v/>
          </cell>
          <cell r="M176" t="str">
            <v/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/>
          </cell>
          <cell r="T176" t="str">
            <v/>
          </cell>
          <cell r="U176" t="str">
            <v/>
          </cell>
        </row>
        <row r="177">
          <cell r="G177" t="str">
            <v>Duration generative drive power during acceleration - power limited acc, 100% speed, full grade, full load (s)</v>
          </cell>
          <cell r="I177" t="str">
            <v>t</v>
          </cell>
          <cell r="J177">
            <v>8.0993295598033797</v>
          </cell>
          <cell r="K177">
            <v>10.272282795550712</v>
          </cell>
          <cell r="L177" t="str">
            <v/>
          </cell>
          <cell r="M177" t="str">
            <v/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  <cell r="S177" t="str">
            <v/>
          </cell>
          <cell r="T177" t="str">
            <v/>
          </cell>
          <cell r="U177" t="str">
            <v/>
          </cell>
        </row>
        <row r="178">
          <cell r="G178" t="str">
            <v>Generative drive energy during acceleration - power limited acc, 100% speed, full grade, full load (kwh)</v>
          </cell>
          <cell r="I178" t="str">
            <v>E=(KE+msg(c+Gr))/(Eff)</v>
          </cell>
          <cell r="J178">
            <v>0.13099121591077795</v>
          </cell>
          <cell r="K178">
            <v>7.6022522018388633E-2</v>
          </cell>
          <cell r="L178" t="str">
            <v/>
          </cell>
          <cell r="M178" t="str">
            <v/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  <cell r="S178" t="str">
            <v/>
          </cell>
          <cell r="T178" t="str">
            <v/>
          </cell>
          <cell r="U178" t="str">
            <v/>
          </cell>
        </row>
        <row r="179">
          <cell r="G179" t="str">
            <v>Average generative drive power during acceleration - power limited acc, 100% speed, full grade, full load (kw)</v>
          </cell>
          <cell r="I179" t="str">
            <v>P=E/t</v>
          </cell>
          <cell r="J179">
            <v>58.223137334622599</v>
          </cell>
          <cell r="K179">
            <v>26.642673757457302</v>
          </cell>
          <cell r="L179" t="str">
            <v/>
          </cell>
          <cell r="M179" t="str">
            <v/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  <cell r="S179" t="str">
            <v/>
          </cell>
          <cell r="T179" t="str">
            <v/>
          </cell>
          <cell r="U179" t="str">
            <v/>
          </cell>
        </row>
        <row r="180">
          <cell r="F180" t="str">
            <v>Power limited drive performance - full grade (constant speed)</v>
          </cell>
          <cell r="G180">
            <v>0</v>
          </cell>
        </row>
        <row r="181">
          <cell r="G181" t="str">
            <v>Power limited max speed - 0% acc, full grade (m/s)</v>
          </cell>
          <cell r="I181" t="str">
            <v>P(Eff)/mg(c+Gr)</v>
          </cell>
          <cell r="J181">
            <v>2.3869196801527628</v>
          </cell>
          <cell r="K181">
            <v>1.2906948493683186</v>
          </cell>
          <cell r="L181" t="str">
            <v/>
          </cell>
          <cell r="M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  <cell r="S181" t="str">
            <v/>
          </cell>
          <cell r="T181" t="str">
            <v/>
          </cell>
          <cell r="U181" t="str">
            <v/>
          </cell>
        </row>
        <row r="182">
          <cell r="G182" t="str">
            <v>Power limited max speed - 0% acc, full grade (% of rated)</v>
          </cell>
          <cell r="J182">
            <v>1.2275586926499924</v>
          </cell>
          <cell r="K182">
            <v>0.92930029154518945</v>
          </cell>
          <cell r="L182" t="str">
            <v/>
          </cell>
          <cell r="M182" t="str">
            <v/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/>
          </cell>
          <cell r="T182" t="str">
            <v/>
          </cell>
          <cell r="U182" t="str">
            <v/>
          </cell>
        </row>
        <row r="183">
          <cell r="G183" t="str">
            <v>Power limited max grade - 100% speed, 0% acc (%)</v>
          </cell>
          <cell r="I183" t="str">
            <v>P(Eff)/mgv - c</v>
          </cell>
          <cell r="J183">
            <v>2.8647230320699709E-2</v>
          </cell>
          <cell r="K183">
            <v>2.6606413994169093E-2</v>
          </cell>
          <cell r="L183" t="str">
            <v/>
          </cell>
          <cell r="M183" t="str">
            <v/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  <cell r="S183" t="str">
            <v/>
          </cell>
          <cell r="T183" t="str">
            <v/>
          </cell>
          <cell r="U183" t="str">
            <v/>
          </cell>
        </row>
        <row r="184">
          <cell r="E184" t="str">
            <v>Stopping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</row>
        <row r="185">
          <cell r="F185" t="str">
            <v>Target speed (m/s)</v>
          </cell>
          <cell r="J185">
            <v>1.9444444444444444</v>
          </cell>
          <cell r="K185">
            <v>1.3888888888888888</v>
          </cell>
          <cell r="L185" t="str">
            <v/>
          </cell>
          <cell r="M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/>
          </cell>
          <cell r="T185" t="str">
            <v/>
          </cell>
          <cell r="U185" t="str">
            <v/>
          </cell>
        </row>
        <row r="186">
          <cell r="F186" t="str">
            <v>Grade</v>
          </cell>
          <cell r="J186">
            <v>0.02</v>
          </cell>
          <cell r="K186">
            <v>0.03</v>
          </cell>
          <cell r="L186" t="str">
            <v/>
          </cell>
          <cell r="M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/>
          </cell>
          <cell r="T186" t="str">
            <v/>
          </cell>
          <cell r="U186" t="str">
            <v/>
          </cell>
        </row>
        <row r="187">
          <cell r="E187">
            <v>0</v>
          </cell>
          <cell r="F187" t="str">
            <v>Coasting to a halt from full speed - no grade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</row>
        <row r="188">
          <cell r="E188">
            <v>0</v>
          </cell>
          <cell r="G188" t="str">
            <v>Coasting deceleration - no grade (m/s/s)</v>
          </cell>
          <cell r="I188" t="str">
            <v>a=g.c/(Eff) - g.Gr</v>
          </cell>
          <cell r="J188">
            <v>0.2205</v>
          </cell>
          <cell r="K188">
            <v>0.20752941176470588</v>
          </cell>
          <cell r="L188" t="str">
            <v/>
          </cell>
          <cell r="M188" t="str">
            <v/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  <cell r="S188" t="str">
            <v/>
          </cell>
          <cell r="T188" t="str">
            <v/>
          </cell>
          <cell r="U188" t="str">
            <v/>
          </cell>
        </row>
        <row r="189">
          <cell r="E189">
            <v>0</v>
          </cell>
          <cell r="G189" t="str">
            <v>Duration to halt - coasting, 100% speed, no grade (s)</v>
          </cell>
          <cell r="I189" t="str">
            <v>t=v/a</v>
          </cell>
          <cell r="J189">
            <v>8.8183421516754841</v>
          </cell>
          <cell r="K189">
            <v>6.6924918115394307</v>
          </cell>
          <cell r="L189" t="str">
            <v/>
          </cell>
          <cell r="M189" t="str">
            <v/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  <cell r="S189" t="str">
            <v/>
          </cell>
          <cell r="T189" t="str">
            <v/>
          </cell>
          <cell r="U189" t="str">
            <v/>
          </cell>
        </row>
        <row r="190">
          <cell r="E190">
            <v>0</v>
          </cell>
          <cell r="G190" t="str">
            <v>Distance to halt - coasting, 100% speed, no grade (m)</v>
          </cell>
          <cell r="I190" t="str">
            <v>s=at^2/2</v>
          </cell>
          <cell r="J190">
            <v>8.5733882030178297</v>
          </cell>
          <cell r="K190">
            <v>4.6475637580134936</v>
          </cell>
          <cell r="L190" t="str">
            <v/>
          </cell>
          <cell r="M190" t="str">
            <v/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  <cell r="S190" t="str">
            <v/>
          </cell>
          <cell r="T190" t="str">
            <v/>
          </cell>
          <cell r="U190" t="str">
            <v/>
          </cell>
        </row>
        <row r="191">
          <cell r="E191">
            <v>0</v>
          </cell>
          <cell r="F191" t="str">
            <v>Coasting to a halt from full speed - full grade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</row>
        <row r="192">
          <cell r="E192">
            <v>0</v>
          </cell>
          <cell r="G192" t="str">
            <v>Coasting deceleration - full grade (m/s/s)</v>
          </cell>
          <cell r="I192" t="str">
            <v>a=g.c/(Eff) - g.Gr</v>
          </cell>
          <cell r="J192">
            <v>2.4499999999999994E-2</v>
          </cell>
          <cell r="K192">
            <v>-8.6470588235294105E-2</v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  <cell r="T192" t="str">
            <v/>
          </cell>
          <cell r="U192" t="str">
            <v/>
          </cell>
        </row>
        <row r="193">
          <cell r="E193">
            <v>0</v>
          </cell>
          <cell r="G193" t="str">
            <v>Duration to halt - coasting, 100% speed, full grade (s)</v>
          </cell>
          <cell r="I193" t="str">
            <v>t=v/a</v>
          </cell>
          <cell r="J193">
            <v>79.365079365079382</v>
          </cell>
          <cell r="K193">
            <v>-16.061980347694636</v>
          </cell>
          <cell r="L193" t="str">
            <v/>
          </cell>
          <cell r="M193" t="str">
            <v/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T193" t="str">
            <v/>
          </cell>
          <cell r="U193" t="str">
            <v/>
          </cell>
        </row>
        <row r="194">
          <cell r="E194">
            <v>0</v>
          </cell>
          <cell r="G194" t="str">
            <v>Distance to halt - coasting, 100% speed, full grade (m)</v>
          </cell>
          <cell r="I194" t="str">
            <v>s=at^2/2</v>
          </cell>
          <cell r="J194">
            <v>77.160493827160508</v>
          </cell>
          <cell r="K194">
            <v>-11.154153019232387</v>
          </cell>
          <cell r="L194" t="str">
            <v/>
          </cell>
          <cell r="M194" t="str">
            <v/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U194" t="str">
            <v/>
          </cell>
        </row>
        <row r="195">
          <cell r="E195" t="str">
            <v>Power systems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</row>
        <row r="196">
          <cell r="E196">
            <v>0</v>
          </cell>
          <cell r="F196" t="str">
            <v>Cost of diesel fuel ($/litre)</v>
          </cell>
          <cell r="I196">
            <v>1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</row>
        <row r="197">
          <cell r="F197" t="str">
            <v>Specific gravity of diesel fuel (kg/litre)</v>
          </cell>
          <cell r="I197">
            <v>0.88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F198" t="str">
            <v>Fuel consumption (kg/kwh)</v>
          </cell>
          <cell r="J198">
            <v>0.222</v>
          </cell>
          <cell r="K198">
            <v>0.222</v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U198" t="str">
            <v/>
          </cell>
        </row>
        <row r="199">
          <cell r="C199">
            <v>60</v>
          </cell>
          <cell r="F199" t="str">
            <v>Generator optimal continuous rating (kw)</v>
          </cell>
          <cell r="J199">
            <v>20</v>
          </cell>
          <cell r="K199">
            <v>12</v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U199" t="str">
            <v/>
          </cell>
        </row>
        <row r="200">
          <cell r="C200">
            <v>57</v>
          </cell>
          <cell r="F200" t="str">
            <v>Machine life (years)</v>
          </cell>
          <cell r="J200">
            <v>20</v>
          </cell>
          <cell r="K200">
            <v>20</v>
          </cell>
          <cell r="L200" t="str">
            <v/>
          </cell>
          <cell r="M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/>
          </cell>
          <cell r="T200" t="str">
            <v/>
          </cell>
          <cell r="U200" t="str">
            <v/>
          </cell>
        </row>
        <row r="201">
          <cell r="C201">
            <v>58</v>
          </cell>
          <cell r="F201" t="str">
            <v>Machine life (duty cycles)</v>
          </cell>
          <cell r="J201">
            <v>200000</v>
          </cell>
          <cell r="K201">
            <v>300000</v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/>
          </cell>
          <cell r="T201" t="str">
            <v/>
          </cell>
          <cell r="U201" t="str">
            <v/>
          </cell>
        </row>
        <row r="202">
          <cell r="C202">
            <v>59</v>
          </cell>
          <cell r="F202" t="str">
            <v>Minimum battery life (years)</v>
          </cell>
          <cell r="J202">
            <v>7</v>
          </cell>
          <cell r="K202">
            <v>10</v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  <cell r="T202" t="str">
            <v/>
          </cell>
          <cell r="U202" t="str">
            <v/>
          </cell>
        </row>
        <row r="203">
          <cell r="E203" t="str">
            <v>Duty Cycle</v>
          </cell>
          <cell r="F203">
            <v>0</v>
          </cell>
          <cell r="G203">
            <v>0</v>
          </cell>
        </row>
        <row r="204">
          <cell r="E204">
            <v>0</v>
          </cell>
          <cell r="F204" t="str">
            <v>Key parameters</v>
          </cell>
          <cell r="G204">
            <v>0</v>
          </cell>
        </row>
        <row r="205">
          <cell r="G205" t="str">
            <v>Name</v>
          </cell>
          <cell r="I205" t="str">
            <v>Worst Case</v>
          </cell>
        </row>
        <row r="206">
          <cell r="G206" t="str">
            <v>Description</v>
          </cell>
          <cell r="I206" t="str">
            <v>Worst case duty cycle considered for design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</row>
        <row r="207">
          <cell r="G207" t="str">
            <v>Average distance to travel round trip (m)</v>
          </cell>
          <cell r="I207">
            <v>250</v>
          </cell>
        </row>
        <row r="208">
          <cell r="G208" t="str">
            <v>Average distance to lift (m)</v>
          </cell>
          <cell r="I208">
            <v>10</v>
          </cell>
        </row>
        <row r="209">
          <cell r="G209" t="str">
            <v>Average mass of load (kg)</v>
          </cell>
          <cell r="I209">
            <v>35000</v>
          </cell>
        </row>
        <row r="210">
          <cell r="G210" t="str">
            <v>On grade?</v>
          </cell>
          <cell r="I210" t="str">
            <v>y</v>
          </cell>
        </row>
        <row r="211">
          <cell r="F211" t="str">
            <v>Lift</v>
          </cell>
          <cell r="G211">
            <v>0</v>
          </cell>
        </row>
        <row r="212">
          <cell r="G212" t="str">
            <v>Average distance to lift load (m)</v>
          </cell>
          <cell r="I212" t="str">
            <v>s</v>
          </cell>
          <cell r="J212">
            <v>6</v>
          </cell>
          <cell r="K212">
            <v>3</v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</row>
        <row r="213">
          <cell r="G213" t="str">
            <v>Laden</v>
          </cell>
        </row>
        <row r="214">
          <cell r="H214" t="str">
            <v>Laden lift mass (kg)</v>
          </cell>
          <cell r="J214">
            <v>42000</v>
          </cell>
          <cell r="K214">
            <v>37000</v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</row>
        <row r="215">
          <cell r="H215" t="str">
            <v>Ratio of mass to peak</v>
          </cell>
          <cell r="J215">
            <v>1</v>
          </cell>
          <cell r="K215">
            <v>1.2333333333333334</v>
          </cell>
          <cell r="L215" t="str">
            <v/>
          </cell>
          <cell r="M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</row>
        <row r="216">
          <cell r="C216">
            <v>21</v>
          </cell>
          <cell r="H216" t="str">
            <v>Generative lift power - laden (kw)</v>
          </cell>
          <cell r="I216" t="str">
            <v>P</v>
          </cell>
          <cell r="J216">
            <v>37.652045454545458</v>
          </cell>
          <cell r="K216">
            <v>30</v>
          </cell>
          <cell r="L216" t="str">
            <v/>
          </cell>
          <cell r="M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</row>
        <row r="217">
          <cell r="C217">
            <v>22</v>
          </cell>
          <cell r="H217" t="str">
            <v>Generative lift power duration - laden (s)</v>
          </cell>
          <cell r="I217" t="str">
            <v>t=s/u</v>
          </cell>
          <cell r="J217">
            <v>85.714285714285708</v>
          </cell>
          <cell r="K217">
            <v>3.5294117647058822</v>
          </cell>
          <cell r="L217" t="str">
            <v/>
          </cell>
          <cell r="M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</row>
        <row r="218">
          <cell r="C218">
            <v>23</v>
          </cell>
          <cell r="H218" t="str">
            <v>Generative lift energy - laden (kwh)</v>
          </cell>
          <cell r="I218" t="str">
            <v>E=Pt</v>
          </cell>
          <cell r="J218">
            <v>0.89647727272727273</v>
          </cell>
          <cell r="K218">
            <v>2.9411764705882353E-2</v>
          </cell>
          <cell r="L218" t="str">
            <v/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</row>
        <row r="219">
          <cell r="H219" t="str">
            <v>Generative lift energy - laden - as proportion of generative only duty cycle (%)</v>
          </cell>
          <cell r="J219">
            <v>0.45481344380758981</v>
          </cell>
          <cell r="K219">
            <v>5.467844874551453E-2</v>
          </cell>
          <cell r="L219" t="str">
            <v/>
          </cell>
          <cell r="M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</row>
        <row r="220">
          <cell r="C220">
            <v>5</v>
          </cell>
          <cell r="H220" t="str">
            <v>Regenerative lift power - laden (kw)</v>
          </cell>
          <cell r="I220" t="str">
            <v>P</v>
          </cell>
          <cell r="J220">
            <v>33.323135999999998</v>
          </cell>
          <cell r="K220">
            <v>30</v>
          </cell>
          <cell r="L220" t="str">
            <v/>
          </cell>
          <cell r="M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</row>
        <row r="221">
          <cell r="C221">
            <v>6</v>
          </cell>
          <cell r="H221" t="str">
            <v>Regenerative lift power duration - laden (s)</v>
          </cell>
          <cell r="I221" t="str">
            <v>t=s/u</v>
          </cell>
          <cell r="J221">
            <v>75</v>
          </cell>
          <cell r="K221">
            <v>3.5294117647058822</v>
          </cell>
          <cell r="L221" t="str">
            <v/>
          </cell>
          <cell r="M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</row>
        <row r="222">
          <cell r="C222">
            <v>7</v>
          </cell>
          <cell r="H222" t="str">
            <v>Regenerative lift energy - laden (kwh)</v>
          </cell>
          <cell r="I222" t="str">
            <v>E=Pt</v>
          </cell>
          <cell r="J222">
            <v>0.69423200000000007</v>
          </cell>
          <cell r="K222">
            <v>2.9411764705882353E-2</v>
          </cell>
          <cell r="L222" t="str">
            <v/>
          </cell>
          <cell r="M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</row>
        <row r="223">
          <cell r="G223" t="str">
            <v>Unladen</v>
          </cell>
        </row>
        <row r="224">
          <cell r="H224" t="str">
            <v>Unladen lift mass (kg)</v>
          </cell>
          <cell r="J224">
            <v>7000</v>
          </cell>
          <cell r="K224">
            <v>2000</v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</row>
        <row r="225">
          <cell r="H225" t="str">
            <v>Ratio of mass to peak</v>
          </cell>
          <cell r="J225">
            <v>0.16666666666666666</v>
          </cell>
          <cell r="K225">
            <v>6.6666666666666666E-2</v>
          </cell>
          <cell r="L225" t="str">
            <v/>
          </cell>
          <cell r="M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</row>
        <row r="226">
          <cell r="C226">
            <v>1</v>
          </cell>
          <cell r="H226" t="str">
            <v>Generative lift power - unladen (kw)</v>
          </cell>
          <cell r="I226" t="str">
            <v>P</v>
          </cell>
          <cell r="J226">
            <v>6.2753409090909091</v>
          </cell>
          <cell r="K226">
            <v>22.540000000000003</v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</row>
        <row r="227">
          <cell r="C227">
            <v>2</v>
          </cell>
          <cell r="H227" t="str">
            <v>Generative lift power duration - unladen (s)</v>
          </cell>
          <cell r="I227" t="str">
            <v>t=s/u</v>
          </cell>
          <cell r="J227">
            <v>85.714285714285708</v>
          </cell>
          <cell r="K227">
            <v>3.5294117647058822</v>
          </cell>
          <cell r="L227" t="str">
            <v/>
          </cell>
          <cell r="M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</row>
        <row r="228">
          <cell r="C228">
            <v>3</v>
          </cell>
          <cell r="H228" t="str">
            <v>Generative lift energy - unladen (kwh)</v>
          </cell>
          <cell r="I228" t="str">
            <v>E=Pt</v>
          </cell>
          <cell r="J228">
            <v>0.14941287878787879</v>
          </cell>
          <cell r="K228">
            <v>2.2098039215686278E-2</v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</row>
        <row r="229">
          <cell r="H229" t="str">
            <v>Generative lift energy - unladen - as proportion of generative only duty cycle (%)</v>
          </cell>
          <cell r="J229">
            <v>7.5802240634598297E-2</v>
          </cell>
          <cell r="K229">
            <v>4.1081741157463256E-2</v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</row>
        <row r="230">
          <cell r="C230">
            <v>25</v>
          </cell>
          <cell r="H230" t="str">
            <v>Regenerative lift power - unladen (kw)</v>
          </cell>
          <cell r="I230" t="str">
            <v>P</v>
          </cell>
          <cell r="J230">
            <v>5.5538559999999997</v>
          </cell>
          <cell r="K230">
            <v>16.285149999999998</v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</row>
        <row r="231">
          <cell r="C231">
            <v>26</v>
          </cell>
          <cell r="H231" t="str">
            <v>Regenerative lift power duration - unladen (s)</v>
          </cell>
          <cell r="I231" t="str">
            <v>t=s/u</v>
          </cell>
          <cell r="J231">
            <v>75</v>
          </cell>
          <cell r="K231">
            <v>3.5294117647058822</v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</row>
        <row r="232">
          <cell r="C232">
            <v>27</v>
          </cell>
          <cell r="H232" t="str">
            <v>Regenerative lift energy - unladen (kwh)</v>
          </cell>
          <cell r="I232" t="str">
            <v>E=Pt</v>
          </cell>
          <cell r="J232">
            <v>0.11570533333333333</v>
          </cell>
          <cell r="K232">
            <v>1.5965833333333332E-2</v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</row>
        <row r="233">
          <cell r="C233">
            <v>0</v>
          </cell>
          <cell r="F233" t="str">
            <v>Acceleration and Braking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</row>
        <row r="234">
          <cell r="G234" t="str">
            <v>100% acc, 100% speed, laden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</row>
        <row r="235">
          <cell r="H235" t="str">
            <v>Laden mass (kg)</v>
          </cell>
          <cell r="J235">
            <v>72000</v>
          </cell>
          <cell r="K235">
            <v>49000</v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</row>
        <row r="236">
          <cell r="H236" t="str">
            <v>Ratio of mass to peak</v>
          </cell>
          <cell r="J236">
            <v>1</v>
          </cell>
          <cell r="K236">
            <v>1.1666666666666667</v>
          </cell>
          <cell r="L236" t="str">
            <v/>
          </cell>
          <cell r="M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</row>
        <row r="237">
          <cell r="C237">
            <v>12</v>
          </cell>
          <cell r="H237" t="str">
            <v>Peak generative drive power during acceleration - 100% acc, 100% speed, no grade, laden (kw)</v>
          </cell>
          <cell r="J237">
            <v>80</v>
          </cell>
          <cell r="K237">
            <v>30</v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</row>
        <row r="238">
          <cell r="C238">
            <v>9</v>
          </cell>
          <cell r="H238" t="str">
            <v>Average generative drive power during acceleration - 100% acc, 100% speed, no grade, laden (kw)</v>
          </cell>
          <cell r="I238" t="str">
            <v>P</v>
          </cell>
          <cell r="J238">
            <v>58.834999999999994</v>
          </cell>
          <cell r="K238">
            <v>30</v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</row>
        <row r="239">
          <cell r="C239">
            <v>10</v>
          </cell>
          <cell r="H239" t="str">
            <v>Duration generative drive power during acceleration - 100% acc, 100% speed (s)</v>
          </cell>
          <cell r="I239" t="str">
            <v>t</v>
          </cell>
          <cell r="J239">
            <v>6.4814814814814818</v>
          </cell>
          <cell r="K239">
            <v>3.9682539682539684</v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</row>
        <row r="240">
          <cell r="C240">
            <v>11</v>
          </cell>
          <cell r="H240" t="str">
            <v>Generative drive energy during acceleration - 100% acc, 100% speed, no grade, laden (kwh)</v>
          </cell>
          <cell r="I240" t="str">
            <v>E=Pt</v>
          </cell>
          <cell r="J240">
            <v>0.10592721193415637</v>
          </cell>
          <cell r="K240">
            <v>3.3068783068783067E-2</v>
          </cell>
          <cell r="L240" t="str">
            <v/>
          </cell>
          <cell r="M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</row>
        <row r="241">
          <cell r="H241" t="str">
            <v>Generative drive energy during acceleration - laden - as proportion of generative only duty cycle (%)</v>
          </cell>
          <cell r="J241">
            <v>5.3740481235118362E-2</v>
          </cell>
          <cell r="K241">
            <v>6.1477091843501787E-2</v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</row>
        <row r="242">
          <cell r="C242">
            <v>20</v>
          </cell>
          <cell r="H242" t="str">
            <v>Peak regenerative drive power during braking - 100% acc, 100% speed, no grade, laden (kw)</v>
          </cell>
          <cell r="J242">
            <v>24.682000000000002</v>
          </cell>
          <cell r="K242">
            <v>23.130081699346402</v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</row>
        <row r="243">
          <cell r="C243">
            <v>17</v>
          </cell>
          <cell r="H243" t="str">
            <v>Average regenerative drive power during braking -100% acc, 100% speed, no grade, laden (kw)</v>
          </cell>
          <cell r="I243" t="str">
            <v>P</v>
          </cell>
          <cell r="J243">
            <v>17.897600000000001</v>
          </cell>
          <cell r="K243">
            <v>13.524680555555552</v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</row>
        <row r="244">
          <cell r="C244">
            <v>18</v>
          </cell>
          <cell r="H244" t="str">
            <v>Duration regenerative drive power during braking - 100% acc, 100% speed (s)</v>
          </cell>
          <cell r="I244" t="str">
            <v>t</v>
          </cell>
          <cell r="J244">
            <v>6.4814814814814818</v>
          </cell>
          <cell r="K244">
            <v>3.9682539682539684</v>
          </cell>
          <cell r="L244" t="str">
            <v/>
          </cell>
          <cell r="M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</row>
        <row r="245">
          <cell r="C245">
            <v>19</v>
          </cell>
          <cell r="H245" t="str">
            <v>Regenerative drive energy during braking - 100% acc, 100% speed, no grade, laden (kwh)</v>
          </cell>
          <cell r="I245" t="str">
            <v>E=Pt</v>
          </cell>
          <cell r="J245">
            <v>3.2223045267489717E-2</v>
          </cell>
          <cell r="K245">
            <v>1.4908157578875168E-2</v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</row>
        <row r="246">
          <cell r="G246" t="str">
            <v>100% acc, 100% speed, unladen</v>
          </cell>
        </row>
        <row r="247">
          <cell r="H247" t="str">
            <v>Unladen mass (kg)</v>
          </cell>
          <cell r="J247">
            <v>37000</v>
          </cell>
          <cell r="K247">
            <v>14000</v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</row>
        <row r="248">
          <cell r="H248" t="str">
            <v>Ratio of mass to peak</v>
          </cell>
          <cell r="J248">
            <v>0.51388888888888884</v>
          </cell>
          <cell r="K248">
            <v>0.33333333333333331</v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</row>
        <row r="249">
          <cell r="C249">
            <v>32</v>
          </cell>
          <cell r="H249" t="str">
            <v>Peak generative drive power during acceleration - 100% acc, 100% speed, no grade, unladen (kw)</v>
          </cell>
          <cell r="J249">
            <v>60.469305555555543</v>
          </cell>
          <cell r="K249">
            <v>18.767320261437906</v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</row>
        <row r="250">
          <cell r="C250">
            <v>29</v>
          </cell>
          <cell r="H250" t="str">
            <v>Average generative drive power during acceleration - 100% acc, 100% speed, no grade, unladen (kw)</v>
          </cell>
          <cell r="I250" t="str">
            <v>P</v>
          </cell>
          <cell r="J250">
            <v>30.234652777777772</v>
          </cell>
          <cell r="K250">
            <v>9.3836601307189529</v>
          </cell>
          <cell r="L250" t="str">
            <v/>
          </cell>
          <cell r="M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</row>
        <row r="251">
          <cell r="C251">
            <v>30</v>
          </cell>
          <cell r="H251" t="str">
            <v>Duration generative drive power during acceleration - 100% acc, 100% speed (s)</v>
          </cell>
          <cell r="I251" t="str">
            <v>t</v>
          </cell>
          <cell r="J251">
            <v>6.4814814814814818</v>
          </cell>
          <cell r="K251">
            <v>3.9682539682539684</v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</row>
        <row r="252">
          <cell r="C252">
            <v>31</v>
          </cell>
          <cell r="H252" t="str">
            <v>Generative drive energy during acceleration - 100% acc, 100% speed, no grade, unladen (kwh)</v>
          </cell>
          <cell r="I252" t="str">
            <v>E=Pt</v>
          </cell>
          <cell r="J252">
            <v>5.4434817243941468E-2</v>
          </cell>
          <cell r="K252">
            <v>1.0343540708464454E-2</v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</row>
        <row r="253">
          <cell r="H253" t="str">
            <v>Generative drive energy during acceleration - laden - as proportion of generative only duty cycle (%)</v>
          </cell>
          <cell r="J253">
            <v>2.7616636190269158E-2</v>
          </cell>
          <cell r="K253">
            <v>1.922933785614717E-2</v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</row>
        <row r="254">
          <cell r="C254">
            <v>40</v>
          </cell>
          <cell r="H254" t="str">
            <v>Peak regenerative drive power during braking - 100% acc, 100% speed, no grade, unladen (kw)</v>
          </cell>
          <cell r="J254">
            <v>12.683805555555555</v>
          </cell>
          <cell r="K254">
            <v>6.6085947712418278</v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</row>
        <row r="255">
          <cell r="C255">
            <v>37</v>
          </cell>
          <cell r="H255" t="str">
            <v>Average regenerative drive power during braking -100% acc, 100% speed, no grade, unladen (kw)</v>
          </cell>
          <cell r="I255" t="str">
            <v>P</v>
          </cell>
          <cell r="J255">
            <v>9.1973777777777777</v>
          </cell>
          <cell r="K255">
            <v>3.8641944444444434</v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</row>
        <row r="256">
          <cell r="C256">
            <v>38</v>
          </cell>
          <cell r="H256" t="str">
            <v>Duration regenerative drive power during braking - 100% acc, 100% speed (s)</v>
          </cell>
          <cell r="I256" t="str">
            <v>t</v>
          </cell>
          <cell r="J256">
            <v>6.4814814814814818</v>
          </cell>
          <cell r="K256">
            <v>3.9682539682539684</v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</row>
        <row r="257">
          <cell r="C257">
            <v>39</v>
          </cell>
          <cell r="H257" t="str">
            <v>Regenerative drive energy during braking - 100% acc, 100% speed, no grade, unladen (kwh)</v>
          </cell>
          <cell r="I257" t="str">
            <v>E=Pt</v>
          </cell>
          <cell r="J257">
            <v>1.6559064929126659E-2</v>
          </cell>
          <cell r="K257">
            <v>4.2594735939643332E-3</v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</row>
        <row r="258">
          <cell r="C258">
            <v>0</v>
          </cell>
          <cell r="F258" t="str">
            <v>Constant speed cruising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</row>
        <row r="259">
          <cell r="C259">
            <v>0</v>
          </cell>
          <cell r="G259" t="str">
            <v>Laden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</row>
        <row r="260">
          <cell r="H260" t="str">
            <v>Travel distance (half of round trip not including acceleration and braking) (m)</v>
          </cell>
          <cell r="J260">
            <v>112.39711934156378</v>
          </cell>
          <cell r="K260">
            <v>119.48853615520282</v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</row>
        <row r="261">
          <cell r="C261">
            <v>0</v>
          </cell>
          <cell r="H261" t="str">
            <v>Laden mass (kg)</v>
          </cell>
          <cell r="J261">
            <v>72000</v>
          </cell>
          <cell r="K261">
            <v>49000</v>
          </cell>
          <cell r="L261" t="str">
            <v/>
          </cell>
          <cell r="M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</row>
        <row r="262">
          <cell r="C262">
            <v>0</v>
          </cell>
          <cell r="H262" t="str">
            <v>Ratio of mass to peak</v>
          </cell>
          <cell r="J262">
            <v>1</v>
          </cell>
          <cell r="K262">
            <v>1.1666666666666667</v>
          </cell>
          <cell r="L262" t="str">
            <v/>
          </cell>
          <cell r="M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</row>
        <row r="263">
          <cell r="C263">
            <v>13</v>
          </cell>
          <cell r="H263" t="str">
            <v>Generative cruising constant speed power - 100% speed, no grade, laden (kw)</v>
          </cell>
          <cell r="I263" t="str">
            <v>P</v>
          </cell>
          <cell r="J263">
            <v>30.869999999999997</v>
          </cell>
          <cell r="K263">
            <v>14.123529411764707</v>
          </cell>
          <cell r="L263" t="str">
            <v/>
          </cell>
          <cell r="M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</row>
        <row r="264">
          <cell r="C264">
            <v>14</v>
          </cell>
          <cell r="H264" t="str">
            <v>Duration generative cruising constant speed power - 100% speed, no grade, laden (s)</v>
          </cell>
          <cell r="I264" t="str">
            <v>t</v>
          </cell>
          <cell r="J264">
            <v>57.804232804232804</v>
          </cell>
          <cell r="K264">
            <v>86.031746031746039</v>
          </cell>
          <cell r="L264" t="str">
            <v/>
          </cell>
          <cell r="M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</row>
        <row r="265">
          <cell r="C265">
            <v>15</v>
          </cell>
          <cell r="H265" t="str">
            <v>Generative cruising constant speed energy - 100% speed, no grade, laden (kwh)</v>
          </cell>
          <cell r="I265" t="str">
            <v>E=Pt</v>
          </cell>
          <cell r="J265">
            <v>0.49567129629629625</v>
          </cell>
          <cell r="K265">
            <v>0.33751997095134356</v>
          </cell>
          <cell r="L265" t="str">
            <v/>
          </cell>
          <cell r="M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</row>
        <row r="266">
          <cell r="H266" t="str">
            <v>Generative cruising constant speed energy - 100% speed, no grade, laden - as proportion of generative only duty cycle (%)</v>
          </cell>
          <cell r="J266">
            <v>0.25147092527985782</v>
          </cell>
          <cell r="K266">
            <v>0.6274723266965202</v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</row>
        <row r="267">
          <cell r="C267">
            <v>0</v>
          </cell>
          <cell r="G267" t="str">
            <v>Unladen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H268" t="str">
            <v>Travel distance (half of round trip not including acceleration and braking) (m)</v>
          </cell>
          <cell r="J268">
            <v>112.39711934156378</v>
          </cell>
          <cell r="K268">
            <v>119.48853615520282</v>
          </cell>
          <cell r="L268" t="str">
            <v/>
          </cell>
          <cell r="M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</row>
        <row r="269">
          <cell r="C269">
            <v>0</v>
          </cell>
          <cell r="H269" t="str">
            <v>Unladen mass (kg)</v>
          </cell>
          <cell r="J269">
            <v>37000</v>
          </cell>
          <cell r="K269">
            <v>14000</v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</row>
        <row r="270">
          <cell r="C270">
            <v>0</v>
          </cell>
          <cell r="H270" t="str">
            <v>Ratio of mass to peak</v>
          </cell>
          <cell r="J270">
            <v>0.51388888888888884</v>
          </cell>
          <cell r="K270">
            <v>0.33333333333333331</v>
          </cell>
          <cell r="L270" t="str">
            <v/>
          </cell>
          <cell r="M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</row>
        <row r="271">
          <cell r="C271">
            <v>33</v>
          </cell>
          <cell r="H271" t="str">
            <v>Generative cruising constant speed power - 100% speed, no grade, unladen (kw)</v>
          </cell>
          <cell r="I271" t="str">
            <v>P</v>
          </cell>
          <cell r="J271">
            <v>15.863749999999998</v>
          </cell>
          <cell r="K271">
            <v>4.0352941176470587</v>
          </cell>
          <cell r="L271" t="str">
            <v/>
          </cell>
          <cell r="M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</row>
        <row r="272">
          <cell r="C272">
            <v>34</v>
          </cell>
          <cell r="H272" t="str">
            <v>Duration generative cruising constant speed power - 100% speed, no grade, unladen (s)</v>
          </cell>
          <cell r="I272" t="str">
            <v>t</v>
          </cell>
          <cell r="J272">
            <v>57.804232804232804</v>
          </cell>
          <cell r="K272">
            <v>86.031746031746039</v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</row>
        <row r="273">
          <cell r="C273">
            <v>35</v>
          </cell>
          <cell r="H273" t="str">
            <v>Generative cruising constant speed energy - 100% speed, no grade, unladen (kwh)</v>
          </cell>
          <cell r="I273" t="str">
            <v>E=Pt</v>
          </cell>
          <cell r="J273">
            <v>0.2547199717078189</v>
          </cell>
          <cell r="K273">
            <v>9.6434277414669575E-2</v>
          </cell>
          <cell r="L273" t="str">
            <v/>
          </cell>
          <cell r="M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</row>
        <row r="274">
          <cell r="H274" t="str">
            <v>Generative cruising constant speed energy - 100% speed, no grade, unladen - as proportion of generative only duty cycle (%)</v>
          </cell>
          <cell r="J274">
            <v>0.12922811437992693</v>
          </cell>
          <cell r="K274">
            <v>0.17927780762757717</v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</row>
        <row r="275">
          <cell r="C275">
            <v>0</v>
          </cell>
          <cell r="F275" t="str">
            <v>Idling</v>
          </cell>
          <cell r="H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</row>
        <row r="276">
          <cell r="C276">
            <v>41</v>
          </cell>
          <cell r="F276" t="str">
            <v>Power on idle (kW)</v>
          </cell>
          <cell r="J276">
            <v>0.8</v>
          </cell>
          <cell r="K276">
            <v>0.5</v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</row>
        <row r="277">
          <cell r="C277">
            <v>0</v>
          </cell>
          <cell r="G277" t="str">
            <v>Full utilization</v>
          </cell>
          <cell r="H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</row>
        <row r="278">
          <cell r="C278">
            <v>0</v>
          </cell>
          <cell r="H278" t="str">
            <v>Duration generative idle power  at full utilization (s)</v>
          </cell>
          <cell r="J278">
            <v>65</v>
          </cell>
          <cell r="K278">
            <v>65</v>
          </cell>
          <cell r="L278" t="str">
            <v/>
          </cell>
          <cell r="M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</row>
        <row r="279">
          <cell r="C279">
            <v>0</v>
          </cell>
          <cell r="G279" t="str">
            <v>Stated utilization</v>
          </cell>
          <cell r="H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</row>
        <row r="280">
          <cell r="C280">
            <v>42</v>
          </cell>
          <cell r="H280" t="str">
            <v>Duration generative idle power including utilization downtime (s)</v>
          </cell>
          <cell r="J280">
            <v>65</v>
          </cell>
          <cell r="K280">
            <v>65</v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</row>
        <row r="281">
          <cell r="C281">
            <v>43</v>
          </cell>
          <cell r="H281" t="str">
            <v>Generative idle energy (kwh)</v>
          </cell>
          <cell r="J281">
            <v>1.4444444444444444E-2</v>
          </cell>
          <cell r="K281">
            <v>9.0277777777777769E-3</v>
          </cell>
          <cell r="L281" t="str">
            <v/>
          </cell>
          <cell r="M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</row>
        <row r="282">
          <cell r="H282" t="str">
            <v>Generative idle energy - as proportion of generative only duty cycle (%)</v>
          </cell>
          <cell r="J282">
            <v>7.3281584726395789E-3</v>
          </cell>
          <cell r="K282">
            <v>1.6783246073275988E-2</v>
          </cell>
          <cell r="L282" t="str">
            <v/>
          </cell>
          <cell r="M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</row>
        <row r="283">
          <cell r="E283">
            <v>0</v>
          </cell>
          <cell r="F283" t="str">
            <v>Averaged requirement at stated utilization</v>
          </cell>
          <cell r="G283">
            <v>0</v>
          </cell>
          <cell r="H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</row>
        <row r="284">
          <cell r="E284">
            <v>0</v>
          </cell>
          <cell r="F284">
            <v>0</v>
          </cell>
          <cell r="G284" t="str">
            <v>Energy</v>
          </cell>
          <cell r="H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</row>
        <row r="285">
          <cell r="C285">
            <v>50</v>
          </cell>
          <cell r="H285" t="str">
            <v>Total generative energy per duty cycle (kwh)</v>
          </cell>
          <cell r="J285">
            <v>1.971087893141809</v>
          </cell>
          <cell r="K285">
            <v>0.53790415384260704</v>
          </cell>
          <cell r="L285" t="str">
            <v/>
          </cell>
          <cell r="M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</row>
        <row r="286">
          <cell r="C286">
            <v>51</v>
          </cell>
          <cell r="H286" t="str">
            <v>Total regenerative energy per duty cycle (kwh)</v>
          </cell>
          <cell r="J286">
            <v>0.85871944352994978</v>
          </cell>
          <cell r="K286">
            <v>6.4545229212055188E-2</v>
          </cell>
          <cell r="L286" t="str">
            <v/>
          </cell>
          <cell r="M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</row>
        <row r="287">
          <cell r="C287">
            <v>52</v>
          </cell>
          <cell r="H287" t="str">
            <v>Net energy per duty cycle (kwh)</v>
          </cell>
          <cell r="J287">
            <v>1.1123684496118593</v>
          </cell>
          <cell r="K287">
            <v>0.47335892463055185</v>
          </cell>
          <cell r="L287" t="str">
            <v/>
          </cell>
          <cell r="M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</row>
        <row r="288">
          <cell r="C288">
            <v>53</v>
          </cell>
          <cell r="H288" t="str">
            <v>Ratio of net energy to total generative energy for duty cycle (%)</v>
          </cell>
          <cell r="J288">
            <v>0.5643423885267761</v>
          </cell>
          <cell r="K288">
            <v>0.88000607775387918</v>
          </cell>
          <cell r="L288" t="str">
            <v/>
          </cell>
          <cell r="M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</row>
        <row r="289">
          <cell r="G289" t="str">
            <v>Power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</row>
        <row r="290">
          <cell r="C290">
            <v>54</v>
          </cell>
          <cell r="H290" t="str">
            <v>Average cycle time including utilization downtime (s)</v>
          </cell>
          <cell r="J290">
            <v>527.96296296296305</v>
          </cell>
          <cell r="K290">
            <v>267.05415499533149</v>
          </cell>
          <cell r="L290" t="str">
            <v/>
          </cell>
          <cell r="M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</row>
        <row r="291">
          <cell r="C291">
            <v>55</v>
          </cell>
          <cell r="H291" t="str">
            <v>Average generative power over duty cycle (kw)</v>
          </cell>
          <cell r="J291">
            <v>13.440178408515173</v>
          </cell>
          <cell r="K291">
            <v>7.2511695385051675</v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</row>
        <row r="292">
          <cell r="C292">
            <v>56</v>
          </cell>
          <cell r="H292" t="str">
            <v>Net power over duty cycle (kw)</v>
          </cell>
          <cell r="J292">
            <v>7.5848623852874573</v>
          </cell>
          <cell r="K292">
            <v>6.3810732647083386</v>
          </cell>
          <cell r="L292" t="str">
            <v/>
          </cell>
          <cell r="M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</row>
        <row r="293">
          <cell r="H293" t="str">
            <v>Ratio of average generative to max rated power for duty cycle (%)</v>
          </cell>
          <cell r="J293">
            <v>0.16800223010643967</v>
          </cell>
          <cell r="K293">
            <v>0.24170565128350557</v>
          </cell>
          <cell r="L293" t="str">
            <v/>
          </cell>
          <cell r="M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</row>
        <row r="294">
          <cell r="H294" t="str">
            <v>Ratio of net power to max rated power for duty cycle (%)</v>
          </cell>
          <cell r="J294">
            <v>9.4810779816093219E-2</v>
          </cell>
          <cell r="K294">
            <v>0.21270244215694462</v>
          </cell>
          <cell r="L294" t="str">
            <v/>
          </cell>
          <cell r="M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</row>
        <row r="295">
          <cell r="H295" t="str">
            <v>Ratio of net power to generator optimal continuous power rating (%)</v>
          </cell>
          <cell r="J295">
            <v>0.37924311926437287</v>
          </cell>
          <cell r="K295">
            <v>0.53175610539236151</v>
          </cell>
          <cell r="L295" t="str">
            <v/>
          </cell>
          <cell r="M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</row>
        <row r="296">
          <cell r="F296" t="str">
            <v>Fuel consumption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</row>
        <row r="297">
          <cell r="G297" t="str">
            <v>Fuel consumption for generative only drive (litres/hour)</v>
          </cell>
          <cell r="J297">
            <v>3.390590462148146</v>
          </cell>
          <cell r="K297">
            <v>1.8292723153956219</v>
          </cell>
          <cell r="L297" t="str">
            <v/>
          </cell>
          <cell r="M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</row>
        <row r="298">
          <cell r="G298" t="str">
            <v>Fuel consumption for regenerative drive (litres/hour)</v>
          </cell>
          <cell r="J298">
            <v>1.9134539199247904</v>
          </cell>
          <cell r="K298">
            <v>1.609770755415058</v>
          </cell>
          <cell r="L298" t="str">
            <v/>
          </cell>
          <cell r="M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</row>
        <row r="299">
          <cell r="G299" t="str">
            <v>Fuel costs for regenerative drive (%)</v>
          </cell>
          <cell r="J299">
            <v>0.5643423885267761</v>
          </cell>
          <cell r="K299">
            <v>0.88000607775387907</v>
          </cell>
          <cell r="L299" t="str">
            <v/>
          </cell>
          <cell r="M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</row>
        <row r="300">
          <cell r="G300" t="str">
            <v>Fuel savings per hour ($)</v>
          </cell>
          <cell r="J300">
            <v>1.4771365422233556</v>
          </cell>
          <cell r="K300">
            <v>0.21950155998056387</v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</row>
        <row r="301"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</row>
        <row r="302">
          <cell r="E302" t="str">
            <v>Duty Cycle</v>
          </cell>
          <cell r="F302">
            <v>0</v>
          </cell>
          <cell r="G302">
            <v>0</v>
          </cell>
        </row>
        <row r="303">
          <cell r="E303">
            <v>0</v>
          </cell>
          <cell r="F303" t="str">
            <v>Key parameters</v>
          </cell>
          <cell r="G303">
            <v>0</v>
          </cell>
        </row>
        <row r="304">
          <cell r="G304" t="str">
            <v>Name</v>
          </cell>
          <cell r="I304" t="str">
            <v>Primary</v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</row>
        <row r="305">
          <cell r="G305" t="str">
            <v>Description</v>
          </cell>
          <cell r="I305" t="str">
            <v>Standard high utilization duty cycle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</row>
        <row r="306">
          <cell r="G306" t="str">
            <v>Average distance to travel round trip (m)</v>
          </cell>
          <cell r="I306">
            <v>250</v>
          </cell>
        </row>
        <row r="307">
          <cell r="G307" t="str">
            <v>Average distance to lift (m)</v>
          </cell>
          <cell r="I307">
            <v>2.5</v>
          </cell>
        </row>
        <row r="308">
          <cell r="G308" t="str">
            <v>Average mass of load (kg)</v>
          </cell>
          <cell r="I308">
            <v>25000</v>
          </cell>
        </row>
        <row r="309">
          <cell r="G309" t="str">
            <v>On grade?</v>
          </cell>
          <cell r="I309" t="str">
            <v/>
          </cell>
        </row>
        <row r="310">
          <cell r="F310" t="str">
            <v>Lift</v>
          </cell>
          <cell r="G310">
            <v>0</v>
          </cell>
        </row>
        <row r="311">
          <cell r="G311" t="str">
            <v>Average distance to lift load (m)</v>
          </cell>
          <cell r="I311" t="str">
            <v>s</v>
          </cell>
          <cell r="J311">
            <v>2.5</v>
          </cell>
          <cell r="K311">
            <v>2.5</v>
          </cell>
          <cell r="L311" t="str">
            <v/>
          </cell>
          <cell r="M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  <cell r="T311" t="str">
            <v/>
          </cell>
          <cell r="U311" t="str">
            <v/>
          </cell>
        </row>
        <row r="312">
          <cell r="G312" t="str">
            <v>Laden</v>
          </cell>
        </row>
        <row r="313">
          <cell r="H313" t="str">
            <v>Laden lift mass (kg)</v>
          </cell>
          <cell r="J313">
            <v>32000</v>
          </cell>
          <cell r="K313">
            <v>27000</v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  <cell r="T313" t="str">
            <v/>
          </cell>
          <cell r="U313" t="str">
            <v/>
          </cell>
        </row>
        <row r="314">
          <cell r="H314" t="str">
            <v>Ratio of mass to peak</v>
          </cell>
          <cell r="J314">
            <v>0.76190476190476186</v>
          </cell>
          <cell r="K314">
            <v>0.9</v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  <cell r="T314" t="str">
            <v/>
          </cell>
          <cell r="U314" t="str">
            <v/>
          </cell>
        </row>
        <row r="315">
          <cell r="H315" t="str">
            <v>Generative lift power - laden (kw)</v>
          </cell>
          <cell r="I315" t="str">
            <v>P</v>
          </cell>
          <cell r="J315">
            <v>28.687272727272727</v>
          </cell>
          <cell r="K315">
            <v>30</v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T315" t="str">
            <v/>
          </cell>
          <cell r="U315" t="str">
            <v/>
          </cell>
        </row>
        <row r="316">
          <cell r="H316" t="str">
            <v>Generative lift power duration - laden (s)</v>
          </cell>
          <cell r="I316" t="str">
            <v>t=s/u</v>
          </cell>
          <cell r="J316">
            <v>35.714285714285708</v>
          </cell>
          <cell r="K316">
            <v>2.9411764705882355</v>
          </cell>
          <cell r="L316" t="str">
            <v/>
          </cell>
          <cell r="M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  <cell r="T316" t="str">
            <v/>
          </cell>
          <cell r="U316" t="str">
            <v/>
          </cell>
        </row>
        <row r="317">
          <cell r="H317" t="str">
            <v>Generative lift energy - laden (kwh)</v>
          </cell>
          <cell r="I317" t="str">
            <v>E=Pt</v>
          </cell>
          <cell r="J317">
            <v>0.28459595959595951</v>
          </cell>
          <cell r="K317">
            <v>2.4509803921568631E-2</v>
          </cell>
          <cell r="L317" t="str">
            <v/>
          </cell>
          <cell r="M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  <cell r="T317" t="str">
            <v/>
          </cell>
          <cell r="U317" t="str">
            <v/>
          </cell>
        </row>
        <row r="318">
          <cell r="H318" t="str">
            <v>Generative lift energy - laden - as proportion of generative only duty cycle (%)</v>
          </cell>
          <cell r="J318">
            <v>0.14438522025637768</v>
          </cell>
          <cell r="K318">
            <v>4.5565373954595451E-2</v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  <cell r="T318" t="str">
            <v/>
          </cell>
          <cell r="U318" t="str">
            <v/>
          </cell>
        </row>
        <row r="319">
          <cell r="H319" t="str">
            <v>Regenerative lift power - laden (kw)</v>
          </cell>
          <cell r="I319" t="str">
            <v>P</v>
          </cell>
          <cell r="J319">
            <v>25.389055999999997</v>
          </cell>
          <cell r="K319">
            <v>30</v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  <cell r="T319" t="str">
            <v/>
          </cell>
          <cell r="U319" t="str">
            <v/>
          </cell>
        </row>
        <row r="320">
          <cell r="H320" t="str">
            <v>Regenerative lift power duration - laden (s)</v>
          </cell>
          <cell r="I320" t="str">
            <v>t=s/u</v>
          </cell>
          <cell r="J320">
            <v>31.25</v>
          </cell>
          <cell r="K320">
            <v>2.9411764705882355</v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U320" t="str">
            <v/>
          </cell>
        </row>
        <row r="321">
          <cell r="H321" t="str">
            <v>Regenerative lift energy - laden (kwh)</v>
          </cell>
          <cell r="I321" t="str">
            <v>E=Pt</v>
          </cell>
          <cell r="J321">
            <v>0.22039111111111109</v>
          </cell>
          <cell r="K321">
            <v>2.4509803921568631E-2</v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U321" t="str">
            <v/>
          </cell>
        </row>
        <row r="322">
          <cell r="G322" t="str">
            <v>Unladen</v>
          </cell>
        </row>
        <row r="323">
          <cell r="H323" t="str">
            <v>Unladen lift mass (kg)</v>
          </cell>
          <cell r="J323">
            <v>7000</v>
          </cell>
          <cell r="K323">
            <v>2000</v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U323" t="str">
            <v/>
          </cell>
        </row>
        <row r="324">
          <cell r="H324" t="str">
            <v>Ratio of mass to peak</v>
          </cell>
          <cell r="J324">
            <v>0.16666666666666666</v>
          </cell>
          <cell r="K324">
            <v>6.6666666666666666E-2</v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U324" t="str">
            <v/>
          </cell>
        </row>
        <row r="325">
          <cell r="H325" t="str">
            <v>Generative lift power - unladen (kw)</v>
          </cell>
          <cell r="I325" t="str">
            <v>P</v>
          </cell>
          <cell r="J325">
            <v>6.2753409090909091</v>
          </cell>
          <cell r="K325">
            <v>22.540000000000003</v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U325" t="str">
            <v/>
          </cell>
        </row>
        <row r="326">
          <cell r="H326" t="str">
            <v>Generative lift power duration - unladen (s)</v>
          </cell>
          <cell r="I326" t="str">
            <v>t=s/u</v>
          </cell>
          <cell r="J326">
            <v>35.714285714285708</v>
          </cell>
          <cell r="K326">
            <v>2.9411764705882355</v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  <cell r="T326" t="str">
            <v/>
          </cell>
          <cell r="U326" t="str">
            <v/>
          </cell>
        </row>
        <row r="327">
          <cell r="H327" t="str">
            <v>Generative lift energy - unladen (kwh)</v>
          </cell>
          <cell r="I327" t="str">
            <v>E=Pt</v>
          </cell>
          <cell r="J327">
            <v>6.2255366161616157E-2</v>
          </cell>
          <cell r="K327">
            <v>1.8415032679738565E-2</v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  <cell r="T327" t="str">
            <v/>
          </cell>
          <cell r="U327" t="str">
            <v/>
          </cell>
        </row>
        <row r="328">
          <cell r="H328" t="str">
            <v>Generative lift energy - unladen - as proportion of generative only duty cycle (%)</v>
          </cell>
          <cell r="J328">
            <v>3.158426693108262E-2</v>
          </cell>
          <cell r="K328">
            <v>3.4234784297886046E-2</v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  <cell r="T328" t="str">
            <v/>
          </cell>
          <cell r="U328" t="str">
            <v/>
          </cell>
        </row>
        <row r="329">
          <cell r="H329" t="str">
            <v>Regenerative lift power - unladen (kw)</v>
          </cell>
          <cell r="I329" t="str">
            <v>P</v>
          </cell>
          <cell r="J329">
            <v>5.5538559999999997</v>
          </cell>
          <cell r="K329">
            <v>16.285149999999998</v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  <cell r="T329" t="str">
            <v/>
          </cell>
          <cell r="U329" t="str">
            <v/>
          </cell>
        </row>
        <row r="330">
          <cell r="H330" t="str">
            <v>Regenerative lift power duration - unladen (s)</v>
          </cell>
          <cell r="I330" t="str">
            <v>t=s/u</v>
          </cell>
          <cell r="J330">
            <v>31.25</v>
          </cell>
          <cell r="K330">
            <v>2.9411764705882355</v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  <cell r="T330" t="str">
            <v/>
          </cell>
          <cell r="U330" t="str">
            <v/>
          </cell>
        </row>
        <row r="331">
          <cell r="H331" t="str">
            <v>Regenerative lift energy - unladen (kwh)</v>
          </cell>
          <cell r="I331" t="str">
            <v>E=Pt</v>
          </cell>
          <cell r="J331">
            <v>4.8210555555555555E-2</v>
          </cell>
          <cell r="K331">
            <v>1.3304861111111111E-2</v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  <cell r="T331" t="str">
            <v/>
          </cell>
          <cell r="U331" t="str">
            <v/>
          </cell>
        </row>
        <row r="332">
          <cell r="C332">
            <v>0</v>
          </cell>
          <cell r="F332" t="str">
            <v>Acceleration and Braking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</row>
        <row r="333">
          <cell r="G333" t="str">
            <v>100% acc, 100% speed, no grade, laden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</row>
        <row r="334">
          <cell r="H334" t="str">
            <v>Laden mass (kg)</v>
          </cell>
          <cell r="J334">
            <v>62000</v>
          </cell>
          <cell r="K334">
            <v>39000</v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  <cell r="T334" t="str">
            <v/>
          </cell>
          <cell r="U334" t="str">
            <v/>
          </cell>
        </row>
        <row r="335">
          <cell r="H335" t="str">
            <v>Ratio of mass to peak</v>
          </cell>
          <cell r="J335">
            <v>0.86111111111111116</v>
          </cell>
          <cell r="K335">
            <v>0.9285714285714286</v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  <cell r="T335" t="str">
            <v/>
          </cell>
          <cell r="U335" t="str">
            <v/>
          </cell>
        </row>
        <row r="336">
          <cell r="H336" t="str">
            <v>Peak generative drive power during acceleration - 100% acc, 100% speed, no grade, laden (kw)</v>
          </cell>
          <cell r="J336">
            <v>71.790833333333339</v>
          </cell>
          <cell r="K336">
            <v>30</v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  <cell r="T336" t="str">
            <v/>
          </cell>
          <cell r="U336" t="str">
            <v/>
          </cell>
        </row>
        <row r="337">
          <cell r="H337" t="str">
            <v>Average generative drive power during acceleration - 100% acc, 100% speed, no grade, laden (kw)</v>
          </cell>
          <cell r="I337" t="str">
            <v>P</v>
          </cell>
          <cell r="J337">
            <v>35.895416666666669</v>
          </cell>
          <cell r="K337">
            <v>16.772549019607844</v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  <cell r="T337" t="str">
            <v/>
          </cell>
          <cell r="U337" t="str">
            <v/>
          </cell>
        </row>
        <row r="338">
          <cell r="H338" t="str">
            <v>Duration generative drive power during acceleration - 100% acc, 100% speed (s)</v>
          </cell>
          <cell r="I338" t="str">
            <v>t</v>
          </cell>
          <cell r="J338">
            <v>6.4814814814814818</v>
          </cell>
          <cell r="K338">
            <v>3.9682539682539684</v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  <cell r="T338" t="str">
            <v/>
          </cell>
          <cell r="U338" t="str">
            <v/>
          </cell>
        </row>
        <row r="339">
          <cell r="H339" t="str">
            <v>Generative drive energy during acceleration - 100% acc, 100% speed, no grade, laden (kwh)</v>
          </cell>
          <cell r="I339" t="str">
            <v>E=Pt</v>
          </cell>
          <cell r="J339">
            <v>6.4626521776406043E-2</v>
          </cell>
          <cell r="K339">
            <v>1.84882595013314E-2</v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T339" t="str">
            <v/>
          </cell>
          <cell r="U339" t="str">
            <v/>
          </cell>
        </row>
        <row r="340">
          <cell r="H340" t="str">
            <v>Generative drive energy during acceleration - laden - as proportion of generative only duty cycle (%)</v>
          </cell>
          <cell r="J340">
            <v>3.2787234907822815E-2</v>
          </cell>
          <cell r="K340">
            <v>3.4370917884268916E-2</v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  <cell r="T340" t="str">
            <v/>
          </cell>
          <cell r="U340" t="str">
            <v/>
          </cell>
        </row>
        <row r="341">
          <cell r="H341" t="str">
            <v>Peak regenerative drive power during braking - 100% acc, 100% speed, no grade, laden (kw)</v>
          </cell>
          <cell r="J341">
            <v>2.3508333333333371</v>
          </cell>
          <cell r="K341">
            <v>4.8734068627450959</v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  <cell r="T341" t="str">
            <v/>
          </cell>
          <cell r="U341" t="str">
            <v/>
          </cell>
        </row>
        <row r="342">
          <cell r="H342" t="str">
            <v>Average regenerative drive power during braking -100% acc, 100% speed, no grade, laden (kw)</v>
          </cell>
          <cell r="I342" t="str">
            <v>P</v>
          </cell>
          <cell r="J342">
            <v>5.9602666666666666</v>
          </cell>
          <cell r="K342">
            <v>3.9964166666666658</v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  <cell r="T342" t="str">
            <v/>
          </cell>
          <cell r="U342" t="str">
            <v/>
          </cell>
        </row>
        <row r="343">
          <cell r="H343" t="str">
            <v>Duration regenerative drive power during braking - 100% acc, 100% speed (s)</v>
          </cell>
          <cell r="I343" t="str">
            <v>t</v>
          </cell>
          <cell r="J343">
            <v>6.4814814814814818</v>
          </cell>
          <cell r="K343">
            <v>3.9682539682539684</v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  <cell r="T343" t="str">
            <v/>
          </cell>
          <cell r="U343" t="str">
            <v/>
          </cell>
        </row>
        <row r="344">
          <cell r="H344" t="str">
            <v>Regenerative drive energy during braking - 100% acc, 100% speed, no grade, laden (kwh)</v>
          </cell>
          <cell r="I344" t="str">
            <v>E=Pt</v>
          </cell>
          <cell r="J344">
            <v>1.0730932784636488E-2</v>
          </cell>
          <cell r="K344">
            <v>4.4052211934156376E-3</v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  <cell r="T344" t="str">
            <v/>
          </cell>
          <cell r="U344" t="str">
            <v/>
          </cell>
        </row>
        <row r="345">
          <cell r="G345" t="str">
            <v>100% acc, 100% speed, no grade, unladen</v>
          </cell>
        </row>
        <row r="346">
          <cell r="H346" t="str">
            <v>Unladen mass (kg)</v>
          </cell>
          <cell r="J346">
            <v>37000</v>
          </cell>
          <cell r="K346">
            <v>14000</v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  <cell r="T346" t="str">
            <v/>
          </cell>
          <cell r="U346" t="str">
            <v/>
          </cell>
        </row>
        <row r="347">
          <cell r="H347" t="str">
            <v>Ratio of mass to peak</v>
          </cell>
          <cell r="J347">
            <v>0.51388888888888884</v>
          </cell>
          <cell r="K347">
            <v>0.33333333333333331</v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  <cell r="T347" t="str">
            <v/>
          </cell>
          <cell r="U347" t="str">
            <v/>
          </cell>
        </row>
        <row r="348">
          <cell r="H348" t="str">
            <v>Peak generative drive power during acceleration - 100% acc, 100% speed, no grade, unladen (kw)</v>
          </cell>
          <cell r="J348">
            <v>42.842916666666667</v>
          </cell>
          <cell r="K348">
            <v>12.041830065359477</v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  <cell r="T348" t="str">
            <v/>
          </cell>
          <cell r="U348" t="str">
            <v/>
          </cell>
        </row>
        <row r="349">
          <cell r="H349" t="str">
            <v>Average generative drive power during acceleration - 100% acc, 100% speed, no grade, unladen (kw)</v>
          </cell>
          <cell r="I349" t="str">
            <v>P</v>
          </cell>
          <cell r="J349">
            <v>21.421458333333334</v>
          </cell>
          <cell r="K349">
            <v>6.0209150326797385</v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  <cell r="T349" t="str">
            <v/>
          </cell>
          <cell r="U349" t="str">
            <v/>
          </cell>
        </row>
        <row r="350">
          <cell r="H350" t="str">
            <v>Duration generative drive power during acceleration - 100% acc, 100% speed (s)</v>
          </cell>
          <cell r="I350" t="str">
            <v>t</v>
          </cell>
          <cell r="J350">
            <v>6.4814814814814818</v>
          </cell>
          <cell r="K350">
            <v>3.9682539682539684</v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  <cell r="T350" t="str">
            <v/>
          </cell>
          <cell r="U350" t="str">
            <v/>
          </cell>
        </row>
        <row r="351">
          <cell r="H351" t="str">
            <v>Generative drive energy during acceleration - 100% acc, 100% speed, no grade, unladen (kwh)</v>
          </cell>
          <cell r="I351" t="str">
            <v>E=Pt</v>
          </cell>
          <cell r="J351">
            <v>3.8567440414951991E-2</v>
          </cell>
          <cell r="K351">
            <v>6.6368111030420405E-3</v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  <cell r="T351" t="str">
            <v/>
          </cell>
          <cell r="U351" t="str">
            <v/>
          </cell>
        </row>
        <row r="352">
          <cell r="H352" t="str">
            <v>Generative drive energy during acceleration - laden - as proportion of generative only duty cycle (%)</v>
          </cell>
          <cell r="J352">
            <v>1.9566575670797483E-2</v>
          </cell>
          <cell r="K352">
            <v>1.2338278214865763E-2</v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  <cell r="T352" t="str">
            <v/>
          </cell>
          <cell r="U352" t="str">
            <v/>
          </cell>
        </row>
        <row r="353">
          <cell r="H353" t="str">
            <v>Peak regenerative drive power during braking - 100% acc, 100% speed, no grade, unladen (kw)</v>
          </cell>
          <cell r="J353">
            <v>1.4029166666666686</v>
          </cell>
          <cell r="K353">
            <v>1.7494281045751627</v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  <cell r="T353" t="str">
            <v/>
          </cell>
          <cell r="U353" t="str">
            <v/>
          </cell>
        </row>
        <row r="354">
          <cell r="H354" t="str">
            <v>Average regenerative drive power during braking -100% acc, 100% speed, no grade, unladen (kw)</v>
          </cell>
          <cell r="I354" t="str">
            <v>P</v>
          </cell>
          <cell r="J354">
            <v>3.5569333333333328</v>
          </cell>
          <cell r="K354">
            <v>1.4346111111111108</v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  <cell r="T354" t="str">
            <v/>
          </cell>
          <cell r="U354" t="str">
            <v/>
          </cell>
        </row>
        <row r="355">
          <cell r="H355" t="str">
            <v>Duration regenerative drive power during braking - 100% acc, 100% speed (s)</v>
          </cell>
          <cell r="I355" t="str">
            <v>t</v>
          </cell>
          <cell r="J355">
            <v>6.4814814814814818</v>
          </cell>
          <cell r="K355">
            <v>3.9682539682539684</v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T355" t="str">
            <v/>
          </cell>
          <cell r="U355" t="str">
            <v/>
          </cell>
        </row>
        <row r="356">
          <cell r="H356" t="str">
            <v>Regenerative drive energy during braking - 100% acc, 100% speed, no grade, unladen (kwh)</v>
          </cell>
          <cell r="I356" t="str">
            <v>E=Pt</v>
          </cell>
          <cell r="J356">
            <v>6.4039437585733877E-3</v>
          </cell>
          <cell r="K356">
            <v>1.5813614540466389E-3</v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  <cell r="T356" t="str">
            <v/>
          </cell>
          <cell r="U356" t="str">
            <v/>
          </cell>
        </row>
        <row r="357">
          <cell r="C357">
            <v>0</v>
          </cell>
          <cell r="F357" t="str">
            <v>Constant speed cruising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</row>
        <row r="358">
          <cell r="C358">
            <v>0</v>
          </cell>
          <cell r="G358" t="str">
            <v>Laden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</row>
        <row r="359">
          <cell r="H359" t="str">
            <v>Travel distance (half of round trip not including acceleration and braking) (m)</v>
          </cell>
          <cell r="J359">
            <v>112.39711934156378</v>
          </cell>
          <cell r="K359">
            <v>119.48853615520282</v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  <cell r="T359" t="str">
            <v/>
          </cell>
          <cell r="U359" t="str">
            <v/>
          </cell>
        </row>
        <row r="360">
          <cell r="C360">
            <v>0</v>
          </cell>
          <cell r="H360" t="str">
            <v>Laden mass (kg)</v>
          </cell>
          <cell r="J360">
            <v>62000</v>
          </cell>
          <cell r="K360">
            <v>39000</v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  <cell r="T360" t="str">
            <v/>
          </cell>
          <cell r="U360" t="str">
            <v/>
          </cell>
        </row>
        <row r="361">
          <cell r="C361">
            <v>0</v>
          </cell>
          <cell r="H361" t="str">
            <v>Ratio of mass to peak</v>
          </cell>
          <cell r="J361">
            <v>0.86111111111111116</v>
          </cell>
          <cell r="K361">
            <v>0.9285714285714286</v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  <cell r="T361" t="str">
            <v/>
          </cell>
          <cell r="U361" t="str">
            <v/>
          </cell>
        </row>
        <row r="362">
          <cell r="H362" t="str">
            <v>Generative cruising constant speed power - 100% speed, no grade, laden (kw)</v>
          </cell>
          <cell r="I362" t="str">
            <v>P</v>
          </cell>
          <cell r="J362">
            <v>26.5825</v>
          </cell>
          <cell r="K362">
            <v>11.241176470588236</v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  <cell r="T362" t="str">
            <v/>
          </cell>
          <cell r="U362" t="str">
            <v/>
          </cell>
        </row>
        <row r="363">
          <cell r="H363" t="str">
            <v>Duration generative cruising constant speed power - 100% speed, no grade, laden (s)</v>
          </cell>
          <cell r="I363" t="str">
            <v>t</v>
          </cell>
          <cell r="J363">
            <v>57.804232804232804</v>
          </cell>
          <cell r="K363">
            <v>86.031746031746039</v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  <cell r="T363" t="str">
            <v/>
          </cell>
          <cell r="U363" t="str">
            <v/>
          </cell>
        </row>
        <row r="364">
          <cell r="H364" t="str">
            <v>Generative cruising constant speed energy - 100% speed, no grade, laden (kwh)</v>
          </cell>
          <cell r="I364" t="str">
            <v>E=Pt</v>
          </cell>
          <cell r="J364">
            <v>0.42682806069958845</v>
          </cell>
          <cell r="K364">
            <v>0.26863834422657956</v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  <cell r="T364" t="str">
            <v/>
          </cell>
          <cell r="U364" t="str">
            <v/>
          </cell>
        </row>
        <row r="365">
          <cell r="H365" t="str">
            <v>Generative cruising constant speed energy - 100% speed, no grade, laden - as proportion of generative only duty cycle (%)</v>
          </cell>
          <cell r="J365">
            <v>0.21654440787987758</v>
          </cell>
          <cell r="K365">
            <v>0.49941674981967932</v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  <cell r="T365" t="str">
            <v/>
          </cell>
          <cell r="U365" t="str">
            <v/>
          </cell>
        </row>
        <row r="366">
          <cell r="C366">
            <v>0</v>
          </cell>
          <cell r="G366" t="str">
            <v>Unladen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</row>
        <row r="367">
          <cell r="H367" t="str">
            <v>Travel distance (half of round trip not including acceleration and braking) (m)</v>
          </cell>
          <cell r="J367">
            <v>112.39711934156378</v>
          </cell>
          <cell r="K367">
            <v>119.48853615520282</v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  <cell r="T367" t="str">
            <v/>
          </cell>
          <cell r="U367" t="str">
            <v/>
          </cell>
        </row>
        <row r="368">
          <cell r="C368">
            <v>0</v>
          </cell>
          <cell r="H368" t="str">
            <v>Unladen mass (kg)</v>
          </cell>
          <cell r="J368">
            <v>37000</v>
          </cell>
          <cell r="K368">
            <v>14000</v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  <cell r="T368" t="str">
            <v/>
          </cell>
          <cell r="U368" t="str">
            <v/>
          </cell>
        </row>
        <row r="369">
          <cell r="C369">
            <v>0</v>
          </cell>
          <cell r="H369" t="str">
            <v>Ratio of mass to peak</v>
          </cell>
          <cell r="J369">
            <v>0.51388888888888884</v>
          </cell>
          <cell r="K369">
            <v>0.33333333333333331</v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  <cell r="T369" t="str">
            <v/>
          </cell>
          <cell r="U369" t="str">
            <v/>
          </cell>
        </row>
        <row r="370">
          <cell r="H370" t="str">
            <v>Generative cruising constant speed power - 100% speed, no grade, unladen (kw)</v>
          </cell>
          <cell r="I370" t="str">
            <v>P</v>
          </cell>
          <cell r="J370">
            <v>15.863749999999998</v>
          </cell>
          <cell r="K370">
            <v>4.0352941176470587</v>
          </cell>
          <cell r="L370" t="str">
            <v/>
          </cell>
          <cell r="M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  <cell r="T370" t="str">
            <v/>
          </cell>
          <cell r="U370" t="str">
            <v/>
          </cell>
        </row>
        <row r="371">
          <cell r="H371" t="str">
            <v>Duration generative cruising constant speed power - 100% speed, no grade, unladen (s)</v>
          </cell>
          <cell r="I371" t="str">
            <v>t</v>
          </cell>
          <cell r="J371">
            <v>57.804232804232804</v>
          </cell>
          <cell r="K371">
            <v>86.031746031746039</v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  <cell r="T371" t="str">
            <v/>
          </cell>
          <cell r="U371" t="str">
            <v/>
          </cell>
        </row>
        <row r="372">
          <cell r="H372" t="str">
            <v>Generative cruising constant speed energy - 100% speed, no grade, unladen (kwh)</v>
          </cell>
          <cell r="I372" t="str">
            <v>E=Pt</v>
          </cell>
          <cell r="J372">
            <v>0.2547199717078189</v>
          </cell>
          <cell r="K372">
            <v>9.6434277414669575E-2</v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  <cell r="T372" t="str">
            <v/>
          </cell>
          <cell r="U372" t="str">
            <v/>
          </cell>
        </row>
        <row r="373">
          <cell r="H373" t="str">
            <v>Generative cruising constant speed energy - 100% speed, no grade, unladen - as proportion of generative only duty cycle (%)</v>
          </cell>
          <cell r="J373">
            <v>0.12922811437992693</v>
          </cell>
          <cell r="K373">
            <v>0.17927780762757717</v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  <cell r="T373" t="str">
            <v/>
          </cell>
          <cell r="U373" t="str">
            <v/>
          </cell>
        </row>
        <row r="374">
          <cell r="C374">
            <v>0</v>
          </cell>
          <cell r="F374" t="str">
            <v>Idling</v>
          </cell>
          <cell r="H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</row>
        <row r="375">
          <cell r="F375" t="str">
            <v>Power on idle (kW)</v>
          </cell>
          <cell r="J375">
            <v>0.8</v>
          </cell>
          <cell r="K375">
            <v>0.5</v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  <cell r="T375" t="str">
            <v/>
          </cell>
          <cell r="U375" t="str">
            <v/>
          </cell>
        </row>
        <row r="376">
          <cell r="C376">
            <v>0</v>
          </cell>
          <cell r="G376" t="str">
            <v>Full utilization</v>
          </cell>
          <cell r="H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</row>
        <row r="377">
          <cell r="C377">
            <v>0</v>
          </cell>
          <cell r="H377" t="str">
            <v>Duration generative idle power  at full utilization (s)</v>
          </cell>
          <cell r="J377">
            <v>65</v>
          </cell>
          <cell r="K377">
            <v>65</v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  <cell r="T377" t="str">
            <v/>
          </cell>
          <cell r="U377" t="str">
            <v/>
          </cell>
        </row>
        <row r="378">
          <cell r="C378">
            <v>0</v>
          </cell>
          <cell r="G378" t="str">
            <v>Stated utilization</v>
          </cell>
          <cell r="H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</row>
        <row r="379">
          <cell r="C379">
            <v>0</v>
          </cell>
          <cell r="H379" t="str">
            <v>Duration generative idle power including utilization downtime (s)</v>
          </cell>
          <cell r="J379">
            <v>65</v>
          </cell>
          <cell r="K379">
            <v>65</v>
          </cell>
          <cell r="L379" t="str">
            <v/>
          </cell>
          <cell r="M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  <cell r="T379" t="str">
            <v/>
          </cell>
          <cell r="U379" t="str">
            <v/>
          </cell>
        </row>
        <row r="380">
          <cell r="H380" t="str">
            <v>Generative idle energy (kwh)</v>
          </cell>
          <cell r="J380">
            <v>1.4444444444444444E-2</v>
          </cell>
          <cell r="K380">
            <v>9.0277777777777769E-3</v>
          </cell>
          <cell r="L380" t="str">
            <v/>
          </cell>
          <cell r="M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  <cell r="T380" t="str">
            <v/>
          </cell>
          <cell r="U380" t="str">
            <v/>
          </cell>
        </row>
        <row r="381">
          <cell r="H381" t="str">
            <v>Generative idle energy - as proportion of generative only duty cycle (%)</v>
          </cell>
          <cell r="J381">
            <v>7.3281584726395789E-3</v>
          </cell>
          <cell r="K381">
            <v>1.6783246073275988E-2</v>
          </cell>
          <cell r="L381" t="str">
            <v/>
          </cell>
          <cell r="M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  <cell r="T381" t="str">
            <v/>
          </cell>
          <cell r="U381" t="str">
            <v/>
          </cell>
        </row>
        <row r="382">
          <cell r="E382">
            <v>0</v>
          </cell>
          <cell r="F382" t="str">
            <v>Averaged requirement at stated utilization</v>
          </cell>
          <cell r="G382">
            <v>0</v>
          </cell>
          <cell r="H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</row>
        <row r="383">
          <cell r="E383">
            <v>0</v>
          </cell>
          <cell r="F383">
            <v>0</v>
          </cell>
          <cell r="G383" t="str">
            <v>Energy</v>
          </cell>
          <cell r="H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</row>
        <row r="384">
          <cell r="H384" t="str">
            <v>Total generative energy per duty cycle (kwh)</v>
          </cell>
          <cell r="J384">
            <v>1.1460377648007856</v>
          </cell>
          <cell r="K384">
            <v>0.44215030662470756</v>
          </cell>
          <cell r="L384" t="str">
            <v/>
          </cell>
          <cell r="M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  <cell r="T384" t="str">
            <v/>
          </cell>
          <cell r="U384" t="str">
            <v/>
          </cell>
        </row>
        <row r="385">
          <cell r="H385" t="str">
            <v>Total regenerative energy per duty cycle (kwh)</v>
          </cell>
          <cell r="J385">
            <v>0.28573654320987651</v>
          </cell>
          <cell r="K385">
            <v>4.3801247680142021E-2</v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  <cell r="T385" t="str">
            <v/>
          </cell>
          <cell r="U385" t="str">
            <v/>
          </cell>
        </row>
        <row r="386">
          <cell r="H386" t="str">
            <v>Net energy per duty cycle (kwh)</v>
          </cell>
          <cell r="J386">
            <v>0.86030122159090905</v>
          </cell>
          <cell r="K386">
            <v>0.39834905894456552</v>
          </cell>
          <cell r="L386" t="str">
            <v/>
          </cell>
          <cell r="M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  <cell r="T386" t="str">
            <v/>
          </cell>
          <cell r="U386" t="str">
            <v/>
          </cell>
        </row>
        <row r="387">
          <cell r="H387" t="str">
            <v>Ratio of net energy to total generative energy for duty cycle (%)</v>
          </cell>
          <cell r="J387">
            <v>0.75067440883194125</v>
          </cell>
          <cell r="K387">
            <v>0.90093584235073243</v>
          </cell>
          <cell r="L387" t="str">
            <v/>
          </cell>
          <cell r="M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  <cell r="T387" t="str">
            <v/>
          </cell>
          <cell r="U387" t="str">
            <v/>
          </cell>
        </row>
        <row r="388">
          <cell r="G388" t="str">
            <v>Power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</row>
        <row r="389">
          <cell r="H389" t="str">
            <v>Average cycle time including utilization downtime (s)</v>
          </cell>
          <cell r="J389">
            <v>527.96296296296305</v>
          </cell>
          <cell r="K389">
            <v>267.05415499533149</v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  <cell r="T389" t="str">
            <v/>
          </cell>
          <cell r="U389" t="str">
            <v/>
          </cell>
        </row>
        <row r="390">
          <cell r="H390" t="str">
            <v>Average generative power over duty cycle (kw)</v>
          </cell>
          <cell r="J390">
            <v>7.8144420020088621</v>
          </cell>
          <cell r="K390">
            <v>5.9603682402049625</v>
          </cell>
          <cell r="L390" t="str">
            <v/>
          </cell>
          <cell r="M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  <cell r="T390" t="str">
            <v/>
          </cell>
          <cell r="U390" t="str">
            <v/>
          </cell>
        </row>
        <row r="391">
          <cell r="H391" t="str">
            <v>Net power over duty cycle (kw)</v>
          </cell>
          <cell r="J391">
            <v>5.8661016302094948</v>
          </cell>
          <cell r="K391">
            <v>5.3699093812096104</v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  <cell r="T391" t="str">
            <v/>
          </cell>
          <cell r="U391" t="str">
            <v/>
          </cell>
        </row>
        <row r="392">
          <cell r="H392" t="str">
            <v>Ratio of average generative to max rated power for duty cycle (%)</v>
          </cell>
          <cell r="J392">
            <v>9.7680525025110779E-2</v>
          </cell>
          <cell r="K392">
            <v>0.19867894134016542</v>
          </cell>
          <cell r="L392" t="str">
            <v/>
          </cell>
          <cell r="M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  <cell r="T392" t="str">
            <v/>
          </cell>
          <cell r="U392" t="str">
            <v/>
          </cell>
        </row>
        <row r="393">
          <cell r="H393" t="str">
            <v>Ratio of net power to max rated power for duty cycle (%)</v>
          </cell>
          <cell r="J393">
            <v>7.3326270377618685E-2</v>
          </cell>
          <cell r="K393">
            <v>0.17899697937365369</v>
          </cell>
          <cell r="L393" t="str">
            <v/>
          </cell>
          <cell r="M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  <cell r="T393" t="str">
            <v/>
          </cell>
          <cell r="U393" t="str">
            <v/>
          </cell>
        </row>
        <row r="394">
          <cell r="H394" t="str">
            <v>Ratio of net power to generator optimal continuous power rating (%)</v>
          </cell>
          <cell r="J394">
            <v>0.29330508151047474</v>
          </cell>
          <cell r="K394">
            <v>0.44749244843413422</v>
          </cell>
          <cell r="L394" t="str">
            <v/>
          </cell>
          <cell r="M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  <cell r="T394" t="str">
            <v/>
          </cell>
          <cell r="U394" t="str">
            <v/>
          </cell>
        </row>
        <row r="395">
          <cell r="F395" t="str">
            <v>Fuel consumption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</row>
        <row r="396">
          <cell r="G396" t="str">
            <v>Fuel consumption for generative only drive (litres/hour)</v>
          </cell>
          <cell r="J396">
            <v>1.9713705959613266</v>
          </cell>
          <cell r="K396">
            <v>1.5036383515062519</v>
          </cell>
          <cell r="L396" t="str">
            <v/>
          </cell>
          <cell r="M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  <cell r="T396" t="str">
            <v/>
          </cell>
          <cell r="U396" t="str">
            <v/>
          </cell>
        </row>
        <row r="397">
          <cell r="G397" t="str">
            <v>Fuel consumption for regenerative drive (litres/hour)</v>
          </cell>
          <cell r="J397">
            <v>1.4798574567119409</v>
          </cell>
          <cell r="K397">
            <v>1.3546816848051517</v>
          </cell>
          <cell r="L397" t="str">
            <v/>
          </cell>
          <cell r="M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  <cell r="T397" t="str">
            <v/>
          </cell>
          <cell r="U397" t="str">
            <v/>
          </cell>
        </row>
        <row r="398">
          <cell r="G398" t="str">
            <v>Fuel costs for regenerative drive (%)</v>
          </cell>
          <cell r="J398">
            <v>0.75067440883194148</v>
          </cell>
          <cell r="K398">
            <v>0.90093584235073243</v>
          </cell>
          <cell r="L398" t="str">
            <v/>
          </cell>
          <cell r="M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  <cell r="T398" t="str">
            <v/>
          </cell>
          <cell r="U398" t="str">
            <v/>
          </cell>
        </row>
        <row r="399">
          <cell r="G399" t="str">
            <v>Fuel savings per hour ($)</v>
          </cell>
          <cell r="J399">
            <v>0.49151313924938561</v>
          </cell>
          <cell r="K399">
            <v>0.14895666670110014</v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  <cell r="T399" t="str">
            <v/>
          </cell>
          <cell r="U399" t="str">
            <v/>
          </cell>
        </row>
        <row r="401">
          <cell r="E401" t="str">
            <v>Duty Cycle</v>
          </cell>
          <cell r="F401">
            <v>0</v>
          </cell>
          <cell r="G401">
            <v>0</v>
          </cell>
        </row>
        <row r="402">
          <cell r="E402">
            <v>0</v>
          </cell>
          <cell r="F402" t="str">
            <v>Key parameters</v>
          </cell>
          <cell r="G402">
            <v>0</v>
          </cell>
        </row>
        <row r="403">
          <cell r="G403" t="str">
            <v>Name</v>
          </cell>
          <cell r="I403" t="str">
            <v>Distance</v>
          </cell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  <cell r="T403" t="str">
            <v/>
          </cell>
          <cell r="U403" t="str">
            <v/>
          </cell>
        </row>
        <row r="404">
          <cell r="G404" t="str">
            <v>Description</v>
          </cell>
          <cell r="I404" t="str">
            <v>Long distance duty cycle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</row>
        <row r="405">
          <cell r="G405" t="str">
            <v>Average distance to travel round trip (m)</v>
          </cell>
          <cell r="I405">
            <v>500</v>
          </cell>
        </row>
        <row r="406">
          <cell r="G406" t="str">
            <v>Average distance to lift (m)</v>
          </cell>
          <cell r="I406">
            <v>10</v>
          </cell>
        </row>
        <row r="407">
          <cell r="G407" t="str">
            <v>Average mass of load (kg)</v>
          </cell>
          <cell r="I407">
            <v>35000</v>
          </cell>
        </row>
        <row r="408">
          <cell r="G408" t="str">
            <v>On grade?</v>
          </cell>
          <cell r="I408" t="str">
            <v/>
          </cell>
        </row>
        <row r="409">
          <cell r="F409" t="str">
            <v>Lift</v>
          </cell>
          <cell r="G409">
            <v>0</v>
          </cell>
        </row>
        <row r="410">
          <cell r="G410" t="str">
            <v>Average distance to lift load (m)</v>
          </cell>
          <cell r="I410" t="str">
            <v>s</v>
          </cell>
          <cell r="J410">
            <v>6</v>
          </cell>
          <cell r="K410">
            <v>3</v>
          </cell>
          <cell r="L410" t="str">
            <v/>
          </cell>
          <cell r="M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  <cell r="T410" t="str">
            <v/>
          </cell>
          <cell r="U410" t="str">
            <v/>
          </cell>
        </row>
        <row r="411">
          <cell r="G411" t="str">
            <v>Laden</v>
          </cell>
        </row>
        <row r="412">
          <cell r="H412" t="str">
            <v>Laden lift mass (kg)</v>
          </cell>
          <cell r="J412">
            <v>42000</v>
          </cell>
          <cell r="K412">
            <v>37000</v>
          </cell>
          <cell r="L412" t="str">
            <v/>
          </cell>
          <cell r="M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  <cell r="T412" t="str">
            <v/>
          </cell>
          <cell r="U412" t="str">
            <v/>
          </cell>
        </row>
        <row r="413">
          <cell r="H413" t="str">
            <v>Ratio of mass to peak</v>
          </cell>
          <cell r="J413">
            <v>1</v>
          </cell>
          <cell r="K413">
            <v>1.2333333333333334</v>
          </cell>
          <cell r="L413" t="str">
            <v/>
          </cell>
          <cell r="M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  <cell r="T413" t="str">
            <v/>
          </cell>
          <cell r="U413" t="str">
            <v/>
          </cell>
        </row>
        <row r="414">
          <cell r="H414" t="str">
            <v>Generative lift power - laden (kw)</v>
          </cell>
          <cell r="I414" t="str">
            <v>P</v>
          </cell>
          <cell r="J414">
            <v>37.652045454545458</v>
          </cell>
          <cell r="K414">
            <v>30</v>
          </cell>
          <cell r="L414" t="str">
            <v/>
          </cell>
          <cell r="M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  <cell r="T414" t="str">
            <v/>
          </cell>
          <cell r="U414" t="str">
            <v/>
          </cell>
        </row>
        <row r="415">
          <cell r="H415" t="str">
            <v>Generative lift power duration - laden (s)</v>
          </cell>
          <cell r="I415" t="str">
            <v>t=s/u</v>
          </cell>
          <cell r="J415">
            <v>85.714285714285708</v>
          </cell>
          <cell r="K415">
            <v>3.5294117647058822</v>
          </cell>
          <cell r="L415" t="str">
            <v/>
          </cell>
          <cell r="M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  <cell r="T415" t="str">
            <v/>
          </cell>
          <cell r="U415" t="str">
            <v/>
          </cell>
        </row>
        <row r="416">
          <cell r="H416" t="str">
            <v>Generative lift energy - laden (kwh)</v>
          </cell>
          <cell r="I416" t="str">
            <v>E=Pt</v>
          </cell>
          <cell r="J416">
            <v>0.89647727272727273</v>
          </cell>
          <cell r="K416">
            <v>2.9411764705882353E-2</v>
          </cell>
          <cell r="L416" t="str">
            <v/>
          </cell>
          <cell r="M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  <cell r="T416" t="str">
            <v/>
          </cell>
          <cell r="U416" t="str">
            <v/>
          </cell>
        </row>
        <row r="417">
          <cell r="H417" t="str">
            <v>Generative lift energy - laden - as proportion of generative only duty cycle (%)</v>
          </cell>
          <cell r="J417">
            <v>0.45481344380758981</v>
          </cell>
          <cell r="K417">
            <v>5.467844874551453E-2</v>
          </cell>
          <cell r="L417" t="str">
            <v/>
          </cell>
          <cell r="M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  <cell r="T417" t="str">
            <v/>
          </cell>
          <cell r="U417" t="str">
            <v/>
          </cell>
        </row>
        <row r="418">
          <cell r="H418" t="str">
            <v>Regenerative lift power - laden (kw)</v>
          </cell>
          <cell r="I418" t="str">
            <v>P</v>
          </cell>
          <cell r="J418">
            <v>33.323135999999998</v>
          </cell>
          <cell r="K418">
            <v>30</v>
          </cell>
          <cell r="L418" t="str">
            <v/>
          </cell>
          <cell r="M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  <cell r="T418" t="str">
            <v/>
          </cell>
          <cell r="U418" t="str">
            <v/>
          </cell>
        </row>
        <row r="419">
          <cell r="H419" t="str">
            <v>Regenerative lift power duration - laden (s)</v>
          </cell>
          <cell r="I419" t="str">
            <v>t=s/u</v>
          </cell>
          <cell r="J419">
            <v>75</v>
          </cell>
          <cell r="K419">
            <v>3.5294117647058822</v>
          </cell>
          <cell r="L419" t="str">
            <v/>
          </cell>
          <cell r="M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  <cell r="T419" t="str">
            <v/>
          </cell>
          <cell r="U419" t="str">
            <v/>
          </cell>
        </row>
        <row r="420">
          <cell r="H420" t="str">
            <v>Regenerative lift energy - laden (kwh)</v>
          </cell>
          <cell r="I420" t="str">
            <v>E=Pt</v>
          </cell>
          <cell r="J420">
            <v>0.69423200000000007</v>
          </cell>
          <cell r="K420">
            <v>2.9411764705882353E-2</v>
          </cell>
          <cell r="L420" t="str">
            <v/>
          </cell>
          <cell r="M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  <cell r="T420" t="str">
            <v/>
          </cell>
          <cell r="U420" t="str">
            <v/>
          </cell>
        </row>
        <row r="421">
          <cell r="G421" t="str">
            <v>Unladen</v>
          </cell>
        </row>
        <row r="422">
          <cell r="H422" t="str">
            <v>Unladen lift mass (kg)</v>
          </cell>
          <cell r="J422">
            <v>7000</v>
          </cell>
          <cell r="K422">
            <v>2000</v>
          </cell>
          <cell r="L422" t="str">
            <v/>
          </cell>
          <cell r="M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  <cell r="T422" t="str">
            <v/>
          </cell>
          <cell r="U422" t="str">
            <v/>
          </cell>
        </row>
        <row r="423">
          <cell r="H423" t="str">
            <v>Ratio of mass to peak</v>
          </cell>
          <cell r="J423">
            <v>0.16666666666666666</v>
          </cell>
          <cell r="K423">
            <v>6.6666666666666666E-2</v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  <cell r="T423" t="str">
            <v/>
          </cell>
          <cell r="U423" t="str">
            <v/>
          </cell>
        </row>
        <row r="424">
          <cell r="H424" t="str">
            <v>Generative lift power - unladen (kw)</v>
          </cell>
          <cell r="I424" t="str">
            <v>P</v>
          </cell>
          <cell r="J424">
            <v>6.2753409090909091</v>
          </cell>
          <cell r="K424">
            <v>22.540000000000003</v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  <cell r="T424" t="str">
            <v/>
          </cell>
          <cell r="U424" t="str">
            <v/>
          </cell>
        </row>
        <row r="425">
          <cell r="H425" t="str">
            <v>Generative lift power duration - unladen (s)</v>
          </cell>
          <cell r="I425" t="str">
            <v>t=s/u</v>
          </cell>
          <cell r="J425">
            <v>85.714285714285708</v>
          </cell>
          <cell r="K425">
            <v>3.5294117647058822</v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  <cell r="T425" t="str">
            <v/>
          </cell>
          <cell r="U425" t="str">
            <v/>
          </cell>
        </row>
        <row r="426">
          <cell r="H426" t="str">
            <v>Generative lift energy - unladen (kwh)</v>
          </cell>
          <cell r="I426" t="str">
            <v>E=Pt</v>
          </cell>
          <cell r="J426">
            <v>0.14941287878787879</v>
          </cell>
          <cell r="K426">
            <v>2.2098039215686278E-2</v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  <cell r="T426" t="str">
            <v/>
          </cell>
          <cell r="U426" t="str">
            <v/>
          </cell>
        </row>
        <row r="427">
          <cell r="H427" t="str">
            <v>Generative lift energy - unladen - as proportion of generative only duty cycle (%)</v>
          </cell>
          <cell r="J427">
            <v>7.5802240634598297E-2</v>
          </cell>
          <cell r="K427">
            <v>4.1081741157463256E-2</v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  <cell r="T427" t="str">
            <v/>
          </cell>
          <cell r="U427" t="str">
            <v/>
          </cell>
        </row>
        <row r="428">
          <cell r="H428" t="str">
            <v>Regenerative lift power - unladen (kw)</v>
          </cell>
          <cell r="I428" t="str">
            <v>P</v>
          </cell>
          <cell r="J428">
            <v>5.5538559999999997</v>
          </cell>
          <cell r="K428">
            <v>16.285149999999998</v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  <cell r="T428" t="str">
            <v/>
          </cell>
          <cell r="U428" t="str">
            <v/>
          </cell>
        </row>
        <row r="429">
          <cell r="H429" t="str">
            <v>Regenerative lift power duration - unladen (s)</v>
          </cell>
          <cell r="I429" t="str">
            <v>t=s/u</v>
          </cell>
          <cell r="J429">
            <v>75</v>
          </cell>
          <cell r="K429">
            <v>3.5294117647058822</v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  <cell r="T429" t="str">
            <v/>
          </cell>
          <cell r="U429" t="str">
            <v/>
          </cell>
        </row>
        <row r="430">
          <cell r="H430" t="str">
            <v>Regenerative lift energy - unladen (kwh)</v>
          </cell>
          <cell r="I430" t="str">
            <v>E=Pt</v>
          </cell>
          <cell r="J430">
            <v>0.11570533333333333</v>
          </cell>
          <cell r="K430">
            <v>1.5965833333333332E-2</v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  <cell r="T430" t="str">
            <v/>
          </cell>
          <cell r="U430" t="str">
            <v/>
          </cell>
        </row>
        <row r="431">
          <cell r="C431">
            <v>0</v>
          </cell>
          <cell r="F431" t="str">
            <v>Acceleration and Braking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</row>
        <row r="432">
          <cell r="G432" t="str">
            <v>100% acc, 100% speed, no grade, laden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</row>
        <row r="433">
          <cell r="H433" t="str">
            <v>Laden mass (kg)</v>
          </cell>
          <cell r="J433">
            <v>72000</v>
          </cell>
          <cell r="K433">
            <v>49000</v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  <cell r="T433" t="str">
            <v/>
          </cell>
          <cell r="U433" t="str">
            <v/>
          </cell>
        </row>
        <row r="434">
          <cell r="H434" t="str">
            <v>Ratio of mass to peak</v>
          </cell>
          <cell r="J434">
            <v>1</v>
          </cell>
          <cell r="K434">
            <v>1.1666666666666667</v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T434" t="str">
            <v/>
          </cell>
          <cell r="U434" t="str">
            <v/>
          </cell>
        </row>
        <row r="435">
          <cell r="H435" t="str">
            <v>Peak generative drive power during acceleration - 100% acc, 100% speed, no grade, laden (kw)</v>
          </cell>
          <cell r="J435">
            <v>80</v>
          </cell>
          <cell r="K435">
            <v>30</v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T435" t="str">
            <v/>
          </cell>
          <cell r="U435" t="str">
            <v/>
          </cell>
        </row>
        <row r="436">
          <cell r="H436" t="str">
            <v>Average generative drive power during acceleration - 100% acc, 100% speed, no grade, laden (kw)</v>
          </cell>
          <cell r="I436" t="str">
            <v>P</v>
          </cell>
          <cell r="J436">
            <v>41.685000000000002</v>
          </cell>
          <cell r="K436">
            <v>21.073202614379085</v>
          </cell>
          <cell r="L436" t="str">
            <v/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T436" t="str">
            <v/>
          </cell>
          <cell r="U436" t="str">
            <v/>
          </cell>
        </row>
        <row r="437">
          <cell r="H437" t="str">
            <v>Duration generative drive power during acceleration - 100% acc, 100% speed (s)</v>
          </cell>
          <cell r="I437" t="str">
            <v>t</v>
          </cell>
          <cell r="J437">
            <v>6.4814814814814818</v>
          </cell>
          <cell r="K437">
            <v>3.9682539682539684</v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T437" t="str">
            <v/>
          </cell>
          <cell r="U437" t="str">
            <v/>
          </cell>
        </row>
        <row r="438">
          <cell r="H438" t="str">
            <v>Generative drive energy during acceleration - 100% acc, 100% speed, no grade, laden (kwh)</v>
          </cell>
          <cell r="I438" t="str">
            <v>E=Pt</v>
          </cell>
          <cell r="J438">
            <v>7.5050154320987661E-2</v>
          </cell>
          <cell r="K438">
            <v>2.3228838860647139E-2</v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T438" t="str">
            <v/>
          </cell>
          <cell r="U438" t="str">
            <v/>
          </cell>
        </row>
        <row r="439">
          <cell r="H439" t="str">
            <v>Generative drive energy during acceleration - laden - as proportion of generative only duty cycle (%)</v>
          </cell>
          <cell r="J439">
            <v>3.8075498602632943E-2</v>
          </cell>
          <cell r="K439">
            <v>4.3183973752030168E-2</v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  <cell r="T439" t="str">
            <v/>
          </cell>
          <cell r="U439" t="str">
            <v/>
          </cell>
        </row>
        <row r="440">
          <cell r="H440" t="str">
            <v>Peak regenerative drive power during braking - 100% acc, 100% speed, no grade, laden (kw)</v>
          </cell>
          <cell r="J440">
            <v>2.730000000000004</v>
          </cell>
          <cell r="K440">
            <v>6.1229983660130696</v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  <cell r="T440" t="str">
            <v/>
          </cell>
          <cell r="U440" t="str">
            <v/>
          </cell>
        </row>
        <row r="441">
          <cell r="H441" t="str">
            <v>Average regenerative drive power during braking -100% acc, 100% speed, no grade, laden (kw)</v>
          </cell>
          <cell r="I441" t="str">
            <v>P</v>
          </cell>
          <cell r="J441">
            <v>6.9215999999999998</v>
          </cell>
          <cell r="K441">
            <v>5.0211388888888884</v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  <cell r="T441" t="str">
            <v/>
          </cell>
          <cell r="U441" t="str">
            <v/>
          </cell>
        </row>
        <row r="442">
          <cell r="H442" t="str">
            <v>Duration regenerative drive power during braking - 100% acc, 100% speed (s)</v>
          </cell>
          <cell r="I442" t="str">
            <v>t</v>
          </cell>
          <cell r="J442">
            <v>6.4814814814814818</v>
          </cell>
          <cell r="K442">
            <v>3.9682539682539684</v>
          </cell>
          <cell r="L442" t="str">
            <v/>
          </cell>
          <cell r="M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  <cell r="T442" t="str">
            <v/>
          </cell>
          <cell r="U442" t="str">
            <v/>
          </cell>
        </row>
        <row r="443">
          <cell r="H443" t="str">
            <v>Regenerative drive energy during braking - 100% acc, 100% speed, no grade, laden (kwh)</v>
          </cell>
          <cell r="I443" t="str">
            <v>E=Pt</v>
          </cell>
          <cell r="J443">
            <v>1.2461728395061728E-2</v>
          </cell>
          <cell r="K443">
            <v>5.5347650891632363E-3</v>
          </cell>
          <cell r="L443" t="str">
            <v/>
          </cell>
          <cell r="M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  <cell r="T443" t="str">
            <v/>
          </cell>
          <cell r="U443" t="str">
            <v/>
          </cell>
        </row>
        <row r="444">
          <cell r="G444" t="str">
            <v>100% acc, 100% speed, no grade, unladen</v>
          </cell>
        </row>
        <row r="445">
          <cell r="H445" t="str">
            <v>Unladen mass (kg)</v>
          </cell>
          <cell r="J445">
            <v>37000</v>
          </cell>
          <cell r="K445">
            <v>14000</v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  <cell r="T445" t="str">
            <v/>
          </cell>
          <cell r="U445" t="str">
            <v/>
          </cell>
        </row>
        <row r="446">
          <cell r="H446" t="str">
            <v>Ratio of mass to peak</v>
          </cell>
          <cell r="J446">
            <v>0.51388888888888884</v>
          </cell>
          <cell r="K446">
            <v>0.33333333333333331</v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  <cell r="T446" t="str">
            <v/>
          </cell>
          <cell r="U446" t="str">
            <v/>
          </cell>
        </row>
        <row r="447">
          <cell r="H447" t="str">
            <v>Peak generative drive power during acceleration - 100% acc, 100% speed, no grade, unladen (kw)</v>
          </cell>
          <cell r="J447">
            <v>42.842916666666667</v>
          </cell>
          <cell r="K447">
            <v>12.041830065359477</v>
          </cell>
          <cell r="L447" t="str">
            <v/>
          </cell>
          <cell r="M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  <cell r="T447" t="str">
            <v/>
          </cell>
          <cell r="U447" t="str">
            <v/>
          </cell>
        </row>
        <row r="448">
          <cell r="H448" t="str">
            <v>Average generative drive power during acceleration - 100% acc, 100% speed, no grade, unladen (kw)</v>
          </cell>
          <cell r="I448" t="str">
            <v>P</v>
          </cell>
          <cell r="J448">
            <v>21.421458333333334</v>
          </cell>
          <cell r="K448">
            <v>6.0209150326797385</v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  <cell r="T448" t="str">
            <v/>
          </cell>
          <cell r="U448" t="str">
            <v/>
          </cell>
        </row>
        <row r="449">
          <cell r="H449" t="str">
            <v>Duration generative drive power during acceleration - 100% acc, 100% speed (s)</v>
          </cell>
          <cell r="I449" t="str">
            <v>t</v>
          </cell>
          <cell r="J449">
            <v>6.4814814814814818</v>
          </cell>
          <cell r="K449">
            <v>3.9682539682539684</v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  <cell r="T449" t="str">
            <v/>
          </cell>
          <cell r="U449" t="str">
            <v/>
          </cell>
        </row>
        <row r="450">
          <cell r="H450" t="str">
            <v>Generative drive energy during acceleration - 100% acc, 100% speed, no grade, unladen (kwh)</v>
          </cell>
          <cell r="I450" t="str">
            <v>E=Pt</v>
          </cell>
          <cell r="J450">
            <v>3.8567440414951991E-2</v>
          </cell>
          <cell r="K450">
            <v>6.6368111030420405E-3</v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  <cell r="T450" t="str">
            <v/>
          </cell>
          <cell r="U450" t="str">
            <v/>
          </cell>
        </row>
        <row r="451">
          <cell r="H451" t="str">
            <v>Generative drive energy during acceleration - laden - as proportion of generative only duty cycle (%)</v>
          </cell>
          <cell r="J451">
            <v>1.9566575670797483E-2</v>
          </cell>
          <cell r="K451">
            <v>1.2338278214865763E-2</v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  <cell r="T451" t="str">
            <v/>
          </cell>
          <cell r="U451" t="str">
            <v/>
          </cell>
        </row>
        <row r="452">
          <cell r="H452" t="str">
            <v>Peak regenerative drive power during braking - 100% acc, 100% speed, no grade, unladen (kw)</v>
          </cell>
          <cell r="J452">
            <v>1.4029166666666686</v>
          </cell>
          <cell r="K452">
            <v>1.7494281045751627</v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  <cell r="T452" t="str">
            <v/>
          </cell>
          <cell r="U452" t="str">
            <v/>
          </cell>
        </row>
        <row r="453">
          <cell r="H453" t="str">
            <v>Average regenerative drive power during braking -100% acc, 100% speed, no grade, unladen (kw)</v>
          </cell>
          <cell r="I453" t="str">
            <v>P</v>
          </cell>
          <cell r="J453">
            <v>3.5569333333333328</v>
          </cell>
          <cell r="K453">
            <v>1.4346111111111108</v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  <cell r="T453" t="str">
            <v/>
          </cell>
          <cell r="U453" t="str">
            <v/>
          </cell>
        </row>
        <row r="454">
          <cell r="H454" t="str">
            <v>Duration regenerative drive power during braking - 100% acc, 100% speed (s)</v>
          </cell>
          <cell r="I454" t="str">
            <v>t</v>
          </cell>
          <cell r="J454">
            <v>6.4814814814814818</v>
          </cell>
          <cell r="K454">
            <v>3.9682539682539684</v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  <cell r="T454" t="str">
            <v/>
          </cell>
          <cell r="U454" t="str">
            <v/>
          </cell>
        </row>
        <row r="455">
          <cell r="H455" t="str">
            <v>Regenerative drive energy during braking - 100% acc, 100% speed, no grade, unladen (kwh)</v>
          </cell>
          <cell r="I455" t="str">
            <v>E=Pt</v>
          </cell>
          <cell r="J455">
            <v>6.4039437585733877E-3</v>
          </cell>
          <cell r="K455">
            <v>1.5813614540466389E-3</v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  <cell r="T455" t="str">
            <v/>
          </cell>
          <cell r="U455" t="str">
            <v/>
          </cell>
        </row>
        <row r="456">
          <cell r="C456">
            <v>0</v>
          </cell>
          <cell r="F456" t="str">
            <v>Constant speed cruising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</row>
        <row r="457">
          <cell r="C457">
            <v>0</v>
          </cell>
          <cell r="G457" t="str">
            <v>Laden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</row>
        <row r="458">
          <cell r="H458" t="str">
            <v>Travel distance (half of round trip not including acceleration and braking) (m)</v>
          </cell>
          <cell r="J458">
            <v>237.39711934156378</v>
          </cell>
          <cell r="K458">
            <v>244.48853615520281</v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  <cell r="T458" t="str">
            <v/>
          </cell>
          <cell r="U458" t="str">
            <v/>
          </cell>
        </row>
        <row r="459">
          <cell r="C459">
            <v>0</v>
          </cell>
          <cell r="H459" t="str">
            <v>Laden mass (kg)</v>
          </cell>
          <cell r="J459">
            <v>72000</v>
          </cell>
          <cell r="K459">
            <v>49000</v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  <cell r="T459" t="str">
            <v/>
          </cell>
          <cell r="U459" t="str">
            <v/>
          </cell>
        </row>
        <row r="460">
          <cell r="C460">
            <v>0</v>
          </cell>
          <cell r="H460" t="str">
            <v>Ratio of mass to peak</v>
          </cell>
          <cell r="J460">
            <v>1</v>
          </cell>
          <cell r="K460">
            <v>1.1666666666666667</v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  <cell r="T460" t="str">
            <v/>
          </cell>
          <cell r="U460" t="str">
            <v/>
          </cell>
        </row>
        <row r="461">
          <cell r="H461" t="str">
            <v>Generative cruising constant speed power - 100% speed, no grade, laden (kw)</v>
          </cell>
          <cell r="I461" t="str">
            <v>P</v>
          </cell>
          <cell r="J461">
            <v>30.869999999999997</v>
          </cell>
          <cell r="K461">
            <v>14.123529411764707</v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  <cell r="T461" t="str">
            <v/>
          </cell>
          <cell r="U461" t="str">
            <v/>
          </cell>
        </row>
        <row r="462">
          <cell r="H462" t="str">
            <v>Duration generative cruising constant speed power - 100% speed, no grade, laden (s)</v>
          </cell>
          <cell r="I462" t="str">
            <v>t</v>
          </cell>
          <cell r="J462">
            <v>122.08994708994709</v>
          </cell>
          <cell r="K462">
            <v>176.03174603174602</v>
          </cell>
          <cell r="L462" t="str">
            <v/>
          </cell>
          <cell r="M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  <cell r="T462" t="str">
            <v/>
          </cell>
          <cell r="U462" t="str">
            <v/>
          </cell>
        </row>
        <row r="463">
          <cell r="H463" t="str">
            <v>Generative cruising constant speed energy - 100% speed, no grade, laden (kwh)</v>
          </cell>
          <cell r="I463" t="str">
            <v>E=Pt</v>
          </cell>
          <cell r="J463">
            <v>1.0469212962962962</v>
          </cell>
          <cell r="K463">
            <v>0.69060820624546115</v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  <cell r="T463" t="str">
            <v/>
          </cell>
          <cell r="U463" t="str">
            <v/>
          </cell>
        </row>
        <row r="464">
          <cell r="H464" t="str">
            <v>Generative cruising constant speed energy - 100% speed, no grade, laden - as proportion of generative only duty cycle (%)</v>
          </cell>
          <cell r="J464">
            <v>0.5311388192981894</v>
          </cell>
          <cell r="K464">
            <v>1.2838871038864221</v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  <cell r="T464" t="str">
            <v/>
          </cell>
          <cell r="U464" t="str">
            <v/>
          </cell>
        </row>
        <row r="465">
          <cell r="C465">
            <v>0</v>
          </cell>
          <cell r="G465" t="str">
            <v>Unladen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</row>
        <row r="466">
          <cell r="H466" t="str">
            <v>Travel distance (half of round trip not including acceleration and braking) (m)</v>
          </cell>
          <cell r="J466">
            <v>237.39711934156378</v>
          </cell>
          <cell r="K466">
            <v>244.48853615520281</v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  <cell r="T466" t="str">
            <v/>
          </cell>
          <cell r="U466" t="str">
            <v/>
          </cell>
        </row>
        <row r="467">
          <cell r="C467">
            <v>0</v>
          </cell>
          <cell r="H467" t="str">
            <v>Unladen mass (kg)</v>
          </cell>
          <cell r="J467">
            <v>37000</v>
          </cell>
          <cell r="K467">
            <v>14000</v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  <cell r="T467" t="str">
            <v/>
          </cell>
          <cell r="U467" t="str">
            <v/>
          </cell>
        </row>
        <row r="468">
          <cell r="C468">
            <v>0</v>
          </cell>
          <cell r="H468" t="str">
            <v>Ratio of mass to peak</v>
          </cell>
          <cell r="J468">
            <v>0.51388888888888884</v>
          </cell>
          <cell r="K468">
            <v>0.33333333333333331</v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  <cell r="T468" t="str">
            <v/>
          </cell>
          <cell r="U468" t="str">
            <v/>
          </cell>
        </row>
        <row r="469">
          <cell r="H469" t="str">
            <v>Generative cruising constant speed power - 100% speed, no grade, unladen (kw)</v>
          </cell>
          <cell r="I469" t="str">
            <v>P</v>
          </cell>
          <cell r="J469">
            <v>15.863749999999998</v>
          </cell>
          <cell r="K469">
            <v>4.0352941176470587</v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  <cell r="T469" t="str">
            <v/>
          </cell>
          <cell r="U469" t="str">
            <v/>
          </cell>
        </row>
        <row r="470">
          <cell r="H470" t="str">
            <v>Duration generative cruising constant speed power - 100% speed, no grade, unladen (s)</v>
          </cell>
          <cell r="I470" t="str">
            <v>t</v>
          </cell>
          <cell r="J470">
            <v>122.08994708994709</v>
          </cell>
          <cell r="K470">
            <v>176.03174603174602</v>
          </cell>
          <cell r="L470" t="str">
            <v/>
          </cell>
          <cell r="M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  <cell r="T470" t="str">
            <v/>
          </cell>
          <cell r="U470" t="str">
            <v/>
          </cell>
        </row>
        <row r="471">
          <cell r="H471" t="str">
            <v>Generative cruising constant speed energy - 100% speed, no grade, unladen (kwh)</v>
          </cell>
          <cell r="I471" t="str">
            <v>E=Pt</v>
          </cell>
          <cell r="J471">
            <v>0.53800122170781883</v>
          </cell>
          <cell r="K471">
            <v>0.19731663035584604</v>
          </cell>
          <cell r="L471" t="str">
            <v/>
          </cell>
          <cell r="M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  <cell r="T471" t="str">
            <v/>
          </cell>
          <cell r="U471" t="str">
            <v/>
          </cell>
        </row>
        <row r="472">
          <cell r="H472" t="str">
            <v>Generative cruising constant speed energy - 100% speed, no grade, unladen - as proportion of generative only duty cycle (%)</v>
          </cell>
          <cell r="J472">
            <v>0.2729463376949029</v>
          </cell>
          <cell r="K472">
            <v>0.366824886824692</v>
          </cell>
          <cell r="L472" t="str">
            <v/>
          </cell>
          <cell r="M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  <cell r="T472" t="str">
            <v/>
          </cell>
          <cell r="U472" t="str">
            <v/>
          </cell>
        </row>
        <row r="473">
          <cell r="C473">
            <v>0</v>
          </cell>
          <cell r="F473" t="str">
            <v>Idling</v>
          </cell>
          <cell r="H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</row>
        <row r="474">
          <cell r="F474" t="str">
            <v>Power on idle (kW)</v>
          </cell>
          <cell r="J474">
            <v>0.8</v>
          </cell>
          <cell r="K474">
            <v>0.5</v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  <cell r="T474" t="str">
            <v/>
          </cell>
          <cell r="U474" t="str">
            <v/>
          </cell>
        </row>
        <row r="475">
          <cell r="C475">
            <v>0</v>
          </cell>
          <cell r="G475" t="str">
            <v>Full utilization</v>
          </cell>
          <cell r="H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</row>
        <row r="476">
          <cell r="C476">
            <v>0</v>
          </cell>
          <cell r="H476" t="str">
            <v>Duration generative idle power  at full utilization (s)</v>
          </cell>
          <cell r="J476">
            <v>65</v>
          </cell>
          <cell r="K476">
            <v>65</v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T476" t="str">
            <v/>
          </cell>
          <cell r="U476" t="str">
            <v/>
          </cell>
        </row>
        <row r="477">
          <cell r="C477">
            <v>0</v>
          </cell>
          <cell r="G477" t="str">
            <v>Stated utilization</v>
          </cell>
          <cell r="H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</row>
        <row r="478">
          <cell r="C478">
            <v>0</v>
          </cell>
          <cell r="H478" t="str">
            <v>Duration generative idle power including utilization downtime (s)</v>
          </cell>
          <cell r="J478">
            <v>65</v>
          </cell>
          <cell r="K478">
            <v>65</v>
          </cell>
          <cell r="L478" t="str">
            <v/>
          </cell>
          <cell r="M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  <cell r="T478" t="str">
            <v/>
          </cell>
          <cell r="U478" t="str">
            <v/>
          </cell>
        </row>
        <row r="479">
          <cell r="H479" t="str">
            <v>Generative idle energy (kwh)</v>
          </cell>
          <cell r="J479">
            <v>1.4444444444444444E-2</v>
          </cell>
          <cell r="K479">
            <v>9.0277777777777769E-3</v>
          </cell>
          <cell r="L479" t="str">
            <v/>
          </cell>
          <cell r="M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  <cell r="T479" t="str">
            <v/>
          </cell>
          <cell r="U479" t="str">
            <v/>
          </cell>
        </row>
        <row r="480">
          <cell r="H480" t="str">
            <v>Generative idle energy - as proportion of generative only duty cycle (%)</v>
          </cell>
          <cell r="J480">
            <v>7.3281584726395789E-3</v>
          </cell>
          <cell r="K480">
            <v>1.6783246073275988E-2</v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  <cell r="T480" t="str">
            <v/>
          </cell>
          <cell r="U480" t="str">
            <v/>
          </cell>
        </row>
        <row r="481">
          <cell r="E481">
            <v>0</v>
          </cell>
          <cell r="F481" t="str">
            <v>Averaged requirement at stated utilization</v>
          </cell>
          <cell r="G481">
            <v>0</v>
          </cell>
          <cell r="H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</row>
        <row r="482">
          <cell r="E482">
            <v>0</v>
          </cell>
          <cell r="F482">
            <v>0</v>
          </cell>
          <cell r="G482" t="str">
            <v>Energy</v>
          </cell>
          <cell r="H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</row>
        <row r="483">
          <cell r="H483" t="str">
            <v>Total generative energy per duty cycle (kwh)</v>
          </cell>
          <cell r="J483">
            <v>2.7588747086996506</v>
          </cell>
          <cell r="K483">
            <v>0.97832806826434282</v>
          </cell>
          <cell r="L483" t="str">
            <v/>
          </cell>
          <cell r="M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  <cell r="T483" t="str">
            <v/>
          </cell>
          <cell r="U483" t="str">
            <v/>
          </cell>
        </row>
        <row r="484">
          <cell r="H484" t="str">
            <v>Total regenerative energy per duty cycle (kwh)</v>
          </cell>
          <cell r="J484">
            <v>0.8288030054869685</v>
          </cell>
          <cell r="K484">
            <v>5.2493724582425558E-2</v>
          </cell>
          <cell r="L484" t="str">
            <v/>
          </cell>
          <cell r="M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  <cell r="T484" t="str">
            <v/>
          </cell>
          <cell r="U484" t="str">
            <v/>
          </cell>
        </row>
        <row r="485">
          <cell r="H485" t="str">
            <v>Net energy per duty cycle (kwh)</v>
          </cell>
          <cell r="J485">
            <v>1.9300717032126822</v>
          </cell>
          <cell r="K485">
            <v>0.9258343436819173</v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  <cell r="T485" t="str">
            <v/>
          </cell>
          <cell r="U485" t="str">
            <v/>
          </cell>
        </row>
        <row r="486">
          <cell r="H486" t="str">
            <v>Ratio of net energy to total generative energy for duty cycle (%)</v>
          </cell>
          <cell r="J486">
            <v>0.69958657315119221</v>
          </cell>
          <cell r="K486">
            <v>0.9463434339816551</v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  <cell r="T486" t="str">
            <v/>
          </cell>
          <cell r="U486" t="str">
            <v/>
          </cell>
        </row>
        <row r="487">
          <cell r="G487" t="str">
            <v>Power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</row>
        <row r="488">
          <cell r="H488" t="str">
            <v>Average cycle time including utilization downtime (s)</v>
          </cell>
          <cell r="J488">
            <v>656.53439153439149</v>
          </cell>
          <cell r="K488">
            <v>447.05415499533149</v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  <cell r="T488" t="str">
            <v/>
          </cell>
          <cell r="U488" t="str">
            <v/>
          </cell>
        </row>
        <row r="489">
          <cell r="H489" t="str">
            <v>Average generative power over duty cycle (kw)</v>
          </cell>
          <cell r="J489">
            <v>15.127842622389831</v>
          </cell>
          <cell r="K489">
            <v>7.878197767311689</v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  <cell r="T489" t="str">
            <v/>
          </cell>
          <cell r="U489" t="str">
            <v/>
          </cell>
        </row>
        <row r="490">
          <cell r="H490" t="str">
            <v>Net power over duty cycle (kw)</v>
          </cell>
          <cell r="J490">
            <v>10.583235579368248</v>
          </cell>
          <cell r="K490">
            <v>7.4554807287043525</v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  <cell r="T490" t="str">
            <v/>
          </cell>
          <cell r="U490" t="str">
            <v/>
          </cell>
        </row>
        <row r="491">
          <cell r="H491" t="str">
            <v>Ratio of average generative to max rated power for duty cycle (%)</v>
          </cell>
          <cell r="J491">
            <v>0.18909803277987289</v>
          </cell>
          <cell r="K491">
            <v>0.26260659224372296</v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  <cell r="T491" t="str">
            <v/>
          </cell>
          <cell r="U491" t="str">
            <v/>
          </cell>
        </row>
        <row r="492">
          <cell r="H492" t="str">
            <v>Ratio of net power to max rated power for duty cycle (%)</v>
          </cell>
          <cell r="J492">
            <v>0.13229044474210311</v>
          </cell>
          <cell r="K492">
            <v>0.24851602429014508</v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  <cell r="T492" t="str">
            <v/>
          </cell>
          <cell r="U492" t="str">
            <v/>
          </cell>
        </row>
        <row r="493">
          <cell r="H493" t="str">
            <v>Ratio of net power to generator optimal continuous power rating (%)</v>
          </cell>
          <cell r="J493">
            <v>0.52916177896841243</v>
          </cell>
          <cell r="K493">
            <v>0.62129006072536275</v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  <cell r="T493" t="str">
            <v/>
          </cell>
          <cell r="U493" t="str">
            <v/>
          </cell>
        </row>
        <row r="494">
          <cell r="F494" t="str">
            <v>Fuel consumption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</row>
        <row r="495">
          <cell r="G495" t="str">
            <v>Fuel consumption for generative only drive (litres/hour)</v>
          </cell>
          <cell r="J495">
            <v>3.8163421161028892</v>
          </cell>
          <cell r="K495">
            <v>1.9874544367536306</v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  <cell r="T495" t="str">
            <v/>
          </cell>
          <cell r="U495" t="str">
            <v/>
          </cell>
        </row>
        <row r="496">
          <cell r="G496" t="str">
            <v>Fuel consumption for regenerative drive (litres/hour)</v>
          </cell>
          <cell r="J496">
            <v>2.66986170297699</v>
          </cell>
          <cell r="K496">
            <v>1.8808144565595073</v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  <cell r="T496" t="str">
            <v/>
          </cell>
          <cell r="U496" t="str">
            <v/>
          </cell>
        </row>
        <row r="497">
          <cell r="G497" t="str">
            <v>Fuel costs for regenerative drive (%)</v>
          </cell>
          <cell r="J497">
            <v>0.69958657315119233</v>
          </cell>
          <cell r="K497">
            <v>0.94634343398165521</v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  <cell r="T497" t="str">
            <v/>
          </cell>
          <cell r="U497" t="str">
            <v/>
          </cell>
        </row>
        <row r="498">
          <cell r="G498" t="str">
            <v>Fuel savings per hour ($)</v>
          </cell>
          <cell r="J498">
            <v>1.1464804131258992</v>
          </cell>
          <cell r="K498">
            <v>0.10663998019412343</v>
          </cell>
          <cell r="L498" t="str">
            <v/>
          </cell>
          <cell r="M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  <cell r="T498" t="str">
            <v/>
          </cell>
          <cell r="U498" t="str">
            <v/>
          </cell>
        </row>
        <row r="499"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</row>
        <row r="500">
          <cell r="C500">
            <v>0</v>
          </cell>
          <cell r="E500" t="str">
            <v>Notes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</row>
        <row r="501">
          <cell r="E501" t="str">
            <v>1. analysis is based on 100% of the load required in the specification.</v>
          </cell>
        </row>
        <row r="502">
          <cell r="E502" t="str">
            <v>2. Coefficient of rolling resistance is conservative, compare to 0.008 for an 18 wheel truck. Wind resistance is not otherwise included.</v>
          </cell>
        </row>
        <row r="506">
          <cell r="C506">
            <v>0</v>
          </cell>
          <cell r="E506" t="str">
            <v>Generative Power Requirement Report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</row>
        <row r="507">
          <cell r="C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</row>
        <row r="508">
          <cell r="C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 t="str">
            <v>RTG-2S</v>
          </cell>
          <cell r="K508" t="str">
            <v>Viva</v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F509" t="str">
            <v>Rated power (kw)</v>
          </cell>
          <cell r="J509">
            <v>80</v>
          </cell>
          <cell r="K509">
            <v>30</v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</sheetData>
      <sheetData sheetId="6">
        <row r="6">
          <cell r="E6" t="str">
            <v>Key parameters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F7" t="str">
            <v>Unladen mass of machine - includes lift assembly (kg)</v>
          </cell>
          <cell r="J7">
            <v>37000</v>
          </cell>
          <cell r="K7">
            <v>14000</v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</row>
        <row r="8">
          <cell r="F8" t="str">
            <v>Max mass of load (kg)2</v>
          </cell>
          <cell r="J8">
            <v>35000</v>
          </cell>
          <cell r="K8">
            <v>28000</v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</row>
        <row r="9">
          <cell r="F9" t="str">
            <v>Mass of lift assembly</v>
          </cell>
          <cell r="J9">
            <v>7000</v>
          </cell>
          <cell r="K9">
            <v>2000</v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</row>
        <row r="10">
          <cell r="F10" t="str">
            <v>Laden mass (kg)</v>
          </cell>
          <cell r="J10">
            <v>72000</v>
          </cell>
          <cell r="K10">
            <v>42000</v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</row>
        <row r="11">
          <cell r="F11" t="str">
            <v>Rated power (kw)</v>
          </cell>
          <cell r="J11">
            <v>80</v>
          </cell>
          <cell r="K11">
            <v>30</v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</row>
        <row r="12">
          <cell r="E12" t="str">
            <v>Lift</v>
          </cell>
          <cell r="F12">
            <v>0</v>
          </cell>
          <cell r="G12">
            <v>0</v>
          </cell>
          <cell r="H12">
            <v>0</v>
          </cell>
        </row>
        <row r="13">
          <cell r="F13" t="str">
            <v>Dynamic factor for lift systems</v>
          </cell>
          <cell r="J13">
            <v>1.1499999999999999</v>
          </cell>
          <cell r="K13">
            <v>1.1499999999999999</v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</row>
        <row r="14">
          <cell r="F14" t="str">
            <v>Max distance to lift load (m)</v>
          </cell>
          <cell r="J14">
            <v>6</v>
          </cell>
          <cell r="K14">
            <v>3</v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</row>
        <row r="15">
          <cell r="F15" t="str">
            <v>Number of lift systems</v>
          </cell>
          <cell r="J15">
            <v>2</v>
          </cell>
          <cell r="K15">
            <v>2</v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</row>
        <row r="16">
          <cell r="F16" t="str">
            <v>Lift total energy efficiency (%)</v>
          </cell>
          <cell r="J16">
            <v>0.88</v>
          </cell>
          <cell r="K16">
            <v>0.85</v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</row>
        <row r="17">
          <cell r="F17" t="str">
            <v>Winch diameter (mm)</v>
          </cell>
          <cell r="J17">
            <v>460</v>
          </cell>
          <cell r="K17">
            <v>300</v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</row>
        <row r="18">
          <cell r="F18" t="str">
            <v>Winch circumference (mm)</v>
          </cell>
          <cell r="J18">
            <v>1445.1326206513049</v>
          </cell>
          <cell r="K18">
            <v>942.47779607693792</v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</row>
        <row r="19">
          <cell r="F19" t="str">
            <v>Winch mechanical advantage</v>
          </cell>
          <cell r="J19">
            <v>2</v>
          </cell>
          <cell r="K19">
            <v>8</v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</row>
        <row r="20">
          <cell r="F20" t="str">
            <v>Gearbox and motor selection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C21">
            <v>60</v>
          </cell>
          <cell r="G21" t="str">
            <v>Lift gearbox ratio (n:1)</v>
          </cell>
          <cell r="J21">
            <v>346</v>
          </cell>
          <cell r="K21">
            <v>350</v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</row>
        <row r="22">
          <cell r="G22" t="str">
            <v>Life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H23" t="str">
            <v>Machine average lift distance (m/cycle)</v>
          </cell>
          <cell r="J23">
            <v>2.5</v>
          </cell>
          <cell r="K23">
            <v>2.5</v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</row>
        <row r="24">
          <cell r="H24" t="str">
            <v>Machine life (duty cycles)</v>
          </cell>
          <cell r="J24">
            <v>200000</v>
          </cell>
          <cell r="K24">
            <v>200000</v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</row>
        <row r="25">
          <cell r="C25">
            <v>63</v>
          </cell>
          <cell r="H25" t="str">
            <v>Required gearbox life - output revolutions, all loads (rev)</v>
          </cell>
          <cell r="J25">
            <v>1400000</v>
          </cell>
          <cell r="K25">
            <v>8500000</v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</row>
        <row r="26">
          <cell r="F26" t="str">
            <v>Laden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G27" t="str">
            <v>Total mass including lift assembly (kg)</v>
          </cell>
          <cell r="J27">
            <v>42000</v>
          </cell>
          <cell r="K27">
            <v>30000</v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</row>
        <row r="28">
          <cell r="G28" t="str">
            <v>Lift</v>
          </cell>
        </row>
        <row r="29">
          <cell r="H29" t="str">
            <v>Lift speed (m/s)</v>
          </cell>
          <cell r="J29">
            <v>7.0000000000000007E-2</v>
          </cell>
          <cell r="K29">
            <v>0.85</v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</row>
        <row r="30">
          <cell r="H30" t="str">
            <v>Rope speed (m/s)</v>
          </cell>
          <cell r="J30">
            <v>0.14000000000000001</v>
          </cell>
          <cell r="K30">
            <v>6.8</v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</row>
        <row r="31">
          <cell r="C31">
            <v>61</v>
          </cell>
          <cell r="H31" t="str">
            <v>Rope speed (rpm)</v>
          </cell>
          <cell r="J31">
            <v>5.8126153129213947</v>
          </cell>
          <cell r="K31">
            <v>432.90144520995534</v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</row>
        <row r="32">
          <cell r="C32">
            <v>62</v>
          </cell>
          <cell r="H32" t="str">
            <v>Motor speed at rated power (rpm)</v>
          </cell>
          <cell r="J32">
            <v>2011.1648982708025</v>
          </cell>
          <cell r="K32">
            <v>151515.50582348436</v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</row>
        <row r="33">
          <cell r="H33" t="str">
            <v>Total force to lift - laden (kN)</v>
          </cell>
          <cell r="J33">
            <v>473.34000000000003</v>
          </cell>
          <cell r="K33">
            <v>338.09999999999997</v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</row>
        <row r="34">
          <cell r="H34" t="str">
            <v>Torque per winch to lift - laden (kNm)</v>
          </cell>
          <cell r="J34">
            <v>27.217050000000004</v>
          </cell>
          <cell r="K34">
            <v>3.1696874999999993</v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</row>
        <row r="35">
          <cell r="H35" t="str">
            <v>Power per winch to lift - 100% speed, laden, unlimited (kw)</v>
          </cell>
          <cell r="J35">
            <v>18.826022727272733</v>
          </cell>
          <cell r="K35">
            <v>169.05</v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</row>
        <row r="36">
          <cell r="H36" t="str">
            <v>Motor output torque - lift, laden (kNm)</v>
          </cell>
          <cell r="J36">
            <v>8.9388629795060445E-2</v>
          </cell>
          <cell r="K36">
            <v>1.0654411764705881E-2</v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</row>
        <row r="37">
          <cell r="G37" t="str">
            <v>Lower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H38" t="str">
            <v>Lower speed (m/s)</v>
          </cell>
          <cell r="J38">
            <v>0.08</v>
          </cell>
          <cell r="K38">
            <v>0.85</v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</row>
        <row r="39">
          <cell r="H39" t="str">
            <v>Rope speed (m/s)</v>
          </cell>
          <cell r="J39">
            <v>0.16</v>
          </cell>
          <cell r="K39">
            <v>6.8</v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</row>
        <row r="40">
          <cell r="H40" t="str">
            <v>Rope speed (rpm)</v>
          </cell>
          <cell r="J40">
            <v>6.6429889290530229</v>
          </cell>
          <cell r="K40">
            <v>432.90144520995534</v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</row>
        <row r="41">
          <cell r="H41" t="str">
            <v>Motor speed at rated power (rpm)</v>
          </cell>
          <cell r="J41">
            <v>2298.4741694523459</v>
          </cell>
          <cell r="K41">
            <v>151515.50582348436</v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</row>
        <row r="42">
          <cell r="H42" t="str">
            <v>Total force to lower - laden (kN)</v>
          </cell>
          <cell r="J42">
            <v>473.34000000000003</v>
          </cell>
          <cell r="K42">
            <v>338.09999999999997</v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</row>
        <row r="43">
          <cell r="H43" t="str">
            <v>Torque per winch to lower - laden (kNm)</v>
          </cell>
          <cell r="J43">
            <v>27.217050000000004</v>
          </cell>
          <cell r="K43">
            <v>3.1696874999999993</v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</row>
        <row r="44">
          <cell r="H44" t="str">
            <v>Power per winch to lower - 100% speed, laden, unlimited (kw)</v>
          </cell>
          <cell r="J44">
            <v>16.661568000000003</v>
          </cell>
          <cell r="K44">
            <v>122.13862499999999</v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</row>
        <row r="45">
          <cell r="H45" t="str">
            <v>Motor output torque - lower, laden (kNm)</v>
          </cell>
          <cell r="J45">
            <v>8.9388629795060445E-2</v>
          </cell>
          <cell r="K45">
            <v>7.6978124999999981E-3</v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</row>
        <row r="46">
          <cell r="E46" t="str">
            <v>Drive</v>
          </cell>
          <cell r="G46" t="str">
            <v>Holding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</row>
        <row r="47">
          <cell r="F47" t="str">
            <v>Number of wheels</v>
          </cell>
          <cell r="H47" t="str">
            <v>Total force to hold - laden (kN)</v>
          </cell>
          <cell r="J47">
            <v>411.60000000000008</v>
          </cell>
          <cell r="K47">
            <v>338.09999999999997</v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</row>
        <row r="48">
          <cell r="F48" t="str">
            <v>Number of drive wheels</v>
          </cell>
          <cell r="H48" t="str">
            <v>Torque per winch to lower - laden (kNm)</v>
          </cell>
          <cell r="J48">
            <v>23.667000000000005</v>
          </cell>
          <cell r="K48">
            <v>0</v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</row>
        <row r="49">
          <cell r="F49" t="str">
            <v>Drive energy efficiency (%)</v>
          </cell>
          <cell r="H49" t="str">
            <v>Motor output torque - holding, laden (kNm)</v>
          </cell>
          <cell r="J49">
            <v>6.0193526011560715E-2</v>
          </cell>
          <cell r="K49">
            <v>1.8694687499999995E-5</v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</row>
        <row r="50">
          <cell r="F50" t="str">
            <v>Wheel radius - static loaded (mm)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 t="str">
            <v>Wheel circumference - rolling loaded (mm)</v>
          </cell>
          <cell r="G51" t="str">
            <v>Rated torque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</row>
        <row r="52">
          <cell r="F52" t="str">
            <v>Target speed (m/s)</v>
          </cell>
          <cell r="H52" t="str">
            <v>Gearbox rated torque - static (kNm)</v>
          </cell>
          <cell r="J52">
            <v>37.867200000000011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</row>
        <row r="53">
          <cell r="C53">
            <v>0</v>
          </cell>
          <cell r="F53" t="str">
            <v>Target speed (rpm)</v>
          </cell>
          <cell r="H53" t="str">
            <v>Gearbox rated torque - dynamic (kNm)</v>
          </cell>
          <cell r="J53">
            <v>32.66046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</row>
        <row r="54">
          <cell r="F54" t="str">
            <v>Rolling resistance</v>
          </cell>
          <cell r="H54" t="str">
            <v>Motor rated torque - static (kNm)</v>
          </cell>
          <cell r="J54">
            <v>9.6309641618497144E-2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 t="str">
            <v>Coefficient rolling resistance</v>
          </cell>
          <cell r="H55" t="str">
            <v>Motor rated torque - dynamic (kNm)</v>
          </cell>
          <cell r="J55">
            <v>0.10726635575407251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G56" t="str">
            <v>Force to overcome tractive effort (kN)</v>
          </cell>
          <cell r="H56" t="str">
            <v>Brake rated torque - minimum static (kNm)</v>
          </cell>
          <cell r="J56">
            <v>9.6309641618497144E-2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</row>
        <row r="57">
          <cell r="F57" t="str">
            <v>Acceleration</v>
          </cell>
          <cell r="H57" t="str">
            <v>Brake rated torque - minimum dynamic (kNm)</v>
          </cell>
          <cell r="J57">
            <v>8.3067065895953751E-2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</row>
        <row r="58">
          <cell r="G58" t="str">
            <v>Emergency stop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G59" t="str">
            <v>Force to accelerate on flat (kN)</v>
          </cell>
          <cell r="H59" t="str">
            <v>Emergency braking torque (kNm)</v>
          </cell>
          <cell r="J59">
            <v>0.106</v>
          </cell>
          <cell r="K59">
            <v>0.1</v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</row>
        <row r="60">
          <cell r="F60" t="str">
            <v>Grade</v>
          </cell>
          <cell r="H60" t="str">
            <v>Emergency braking torque at each winch (kNm)</v>
          </cell>
          <cell r="J60">
            <v>41.677272727272729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</row>
        <row r="61">
          <cell r="G61" t="str">
            <v>Grade</v>
          </cell>
          <cell r="H61" t="str">
            <v>Resulting dynamic factor at winch</v>
          </cell>
          <cell r="J61">
            <v>1.4674889342147548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</row>
        <row r="62">
          <cell r="G62" t="str">
            <v>Force to move up grade (kN)</v>
          </cell>
          <cell r="H62" t="str">
            <v>Available braking force - all winches (kN)</v>
          </cell>
          <cell r="J62">
            <v>724.82213438735175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</row>
        <row r="63">
          <cell r="F63" t="str">
            <v>Gearbox and motor selection</v>
          </cell>
          <cell r="H63" t="str">
            <v>Braking deceleration - at full torque (m/s/s)</v>
          </cell>
          <cell r="J63">
            <v>-11.760000000000002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</row>
        <row r="64">
          <cell r="C64">
            <v>0</v>
          </cell>
          <cell r="G64" t="str">
            <v>Drive gearbox ratio (n:1)</v>
          </cell>
          <cell r="H64" t="str">
            <v>Lower speed (m/s)</v>
          </cell>
          <cell r="J64">
            <v>0.08</v>
          </cell>
          <cell r="K64">
            <v>0.85</v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</row>
        <row r="65">
          <cell r="C65">
            <v>0</v>
          </cell>
          <cell r="G65" t="str">
            <v>Motor speed at rated power (rpm)</v>
          </cell>
          <cell r="H65" t="str">
            <v>Speed to trigger emergency stop - 20% - (m/s)</v>
          </cell>
          <cell r="J65">
            <v>9.6000000000000002E-2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</row>
        <row r="66">
          <cell r="G66" t="str">
            <v>Life</v>
          </cell>
          <cell r="H66" t="str">
            <v>Sensor delay in applying emergency brake (s)</v>
          </cell>
          <cell r="J66">
            <v>0.05</v>
          </cell>
          <cell r="K66">
            <v>0.05</v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</row>
        <row r="67">
          <cell r="H67" t="str">
            <v>Application time for emergency brake - 80% (s)</v>
          </cell>
          <cell r="J67">
            <v>9.6000000000000002E-2</v>
          </cell>
          <cell r="K67">
            <v>9.6000000000000002E-2</v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</row>
        <row r="68">
          <cell r="H68" t="str">
            <v>Distance (m)</v>
          </cell>
          <cell r="J68">
            <v>1.7050000000000003E-2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C69">
            <v>0</v>
          </cell>
          <cell r="H69" t="str">
            <v>Final speed (m/s)</v>
          </cell>
          <cell r="J69">
            <v>0.58600000000000008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F70" t="str">
            <v>Accelerate - no grade, laden</v>
          </cell>
          <cell r="H70" t="str">
            <v>Torque percentage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G71" t="str">
            <v>Total force to accelerate - no grade, laden, unlimited (kN)</v>
          </cell>
          <cell r="H71" t="str">
            <v>Acceleration (m/s/s)</v>
          </cell>
          <cell r="J71">
            <v>9.8000000000000007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G72" t="str">
            <v>Torque per wheel to accelerate - no grade, laden (kNm)</v>
          </cell>
          <cell r="H72" t="str">
            <v>Time delta (s)</v>
          </cell>
          <cell r="J72">
            <v>2.4E-2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G73" t="str">
            <v>Motor output torque - no grade, laden (kNm)</v>
          </cell>
          <cell r="H73" t="str">
            <v>Distance (m)</v>
          </cell>
          <cell r="J73">
            <v>1.6886400000000003E-2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G74" t="str">
            <v>Power per wheel to accelerate - 100% speed, no grade, laden, unlimited (kw)</v>
          </cell>
          <cell r="H74" t="str">
            <v>Final speed (m/s)</v>
          </cell>
          <cell r="J74">
            <v>0.82120000000000015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</row>
        <row r="75">
          <cell r="G75" t="str">
            <v>Power per wheel to accelerate - 100% speed, no grade, laden, limited (kw)</v>
          </cell>
          <cell r="H75" t="str">
            <v>Torque percentage</v>
          </cell>
          <cell r="J75">
            <v>0.2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G76" t="str">
            <v>Power limited?</v>
          </cell>
          <cell r="H76" t="str">
            <v>Acceleration (m/s/s)</v>
          </cell>
          <cell r="J76">
            <v>7.4480000000000004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7">
          <cell r="F77" t="str">
            <v>Accelerate - full grade, laden</v>
          </cell>
          <cell r="H77" t="str">
            <v>Time delta (s)</v>
          </cell>
          <cell r="J77">
            <v>2.4E-2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</row>
        <row r="78">
          <cell r="G78" t="str">
            <v>Total force to accelerate - full grade, laden (kN)</v>
          </cell>
          <cell r="H78" t="str">
            <v>Distance (m)</v>
          </cell>
          <cell r="J78">
            <v>2.1853824000000004E-2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</row>
        <row r="79">
          <cell r="G79" t="str">
            <v>Torque per wheel to accelerate - full grade, laden (kNm)</v>
          </cell>
          <cell r="H79" t="str">
            <v>Final speed (m/s)</v>
          </cell>
          <cell r="J79">
            <v>0.99995200000000017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</row>
        <row r="80">
          <cell r="G80" t="str">
            <v>Motor output torque - full grade, laden (kNm)</v>
          </cell>
          <cell r="H80" t="str">
            <v>Torque percentage</v>
          </cell>
          <cell r="J80">
            <v>0.4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</row>
        <row r="81">
          <cell r="G81" t="str">
            <v>Power per wheel to accelerate - 100% speed, full grade, laden, unlimited (kw)</v>
          </cell>
          <cell r="H81" t="str">
            <v>Acceleration (m/s/s)</v>
          </cell>
          <cell r="J81">
            <v>5.0960000000000001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</row>
        <row r="82">
          <cell r="G82" t="str">
            <v>Power per wheel to accelerate - 100% speed, full grade, laden, limited (kw)</v>
          </cell>
          <cell r="H82" t="str">
            <v>Time delta (s)</v>
          </cell>
          <cell r="J82">
            <v>2.4E-2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</row>
        <row r="83">
          <cell r="G83" t="str">
            <v>Power limited?</v>
          </cell>
          <cell r="H83" t="str">
            <v>Distance (m)</v>
          </cell>
          <cell r="J83">
            <v>2.5466496000000005E-2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F84" t="str">
            <v>Brake - no grade, laden</v>
          </cell>
          <cell r="H84" t="str">
            <v>Final speed (m/s)</v>
          </cell>
          <cell r="J84">
            <v>1.1222560000000001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G85" t="str">
            <v>Total force to brake - no grade, laden, unlimited (kN)</v>
          </cell>
          <cell r="H85" t="str">
            <v>Torque percentage</v>
          </cell>
          <cell r="J85">
            <v>0.6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</row>
        <row r="86">
          <cell r="G86" t="str">
            <v>Torque per wheel to brake - no grade, laden (kNm)</v>
          </cell>
          <cell r="H86" t="str">
            <v>Acceleration (m/s/s)</v>
          </cell>
          <cell r="J86">
            <v>2.7439999999999998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</row>
        <row r="87">
          <cell r="G87" t="str">
            <v>Motor output torque - no grade, laden (kNm)</v>
          </cell>
          <cell r="H87" t="str">
            <v>Time delta (s)</v>
          </cell>
          <cell r="J87">
            <v>2.4E-2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</row>
        <row r="88">
          <cell r="G88" t="str">
            <v>Power per wheel to brake - 100% speed, no grade, laden, unlimited (kw)</v>
          </cell>
          <cell r="H88" t="str">
            <v>Distance (m)</v>
          </cell>
          <cell r="J88">
            <v>2.7724416000000005E-2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</row>
        <row r="89">
          <cell r="G89" t="str">
            <v>Power per wheel to brake - 100% speed, no grade, laden, limited (kw)</v>
          </cell>
          <cell r="H89" t="str">
            <v>Final speed (m/s)</v>
          </cell>
          <cell r="J89">
            <v>1.1881120000000001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</row>
        <row r="90">
          <cell r="G90" t="str">
            <v>Power limited?</v>
          </cell>
          <cell r="H90" t="str">
            <v>Torque percentage</v>
          </cell>
          <cell r="J90">
            <v>0.8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</row>
        <row r="91">
          <cell r="F91" t="str">
            <v>Brake - full grade, laden</v>
          </cell>
          <cell r="H91" t="str">
            <v>Acceleration (m/s/s)</v>
          </cell>
          <cell r="J91">
            <v>0.39199999999999946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</row>
        <row r="92">
          <cell r="G92" t="str">
            <v>Total force to brake - full grade, laden (kN)</v>
          </cell>
          <cell r="H92" t="str">
            <v>Time delta (s)</v>
          </cell>
          <cell r="J92">
            <v>2.4E-2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</row>
        <row r="93">
          <cell r="G93" t="str">
            <v>Torque per wheel to brake - full grade, laden (kNm)</v>
          </cell>
          <cell r="H93" t="str">
            <v>Distance (m)</v>
          </cell>
          <cell r="J93">
            <v>2.8627584000000005E-2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</row>
        <row r="94">
          <cell r="G94" t="str">
            <v>Motor output torque - full grade, laden (kNm)</v>
          </cell>
          <cell r="H94" t="str">
            <v>Final speed (m/s)</v>
          </cell>
          <cell r="J94">
            <v>1.1975200000000001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</row>
        <row r="95">
          <cell r="G95" t="str">
            <v>Power per wheel to brake - 100% speed, full grade, laden, unlimited (kw)</v>
          </cell>
          <cell r="H95" t="str">
            <v>Torque percentage</v>
          </cell>
          <cell r="J95">
            <v>1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</row>
        <row r="96">
          <cell r="G96" t="str">
            <v>Power per wheel to brake - 100% speed, full grade, laden, limited (kw)</v>
          </cell>
          <cell r="H96" t="str">
            <v>Acceleration (m/s/s)</v>
          </cell>
          <cell r="J96">
            <v>-1.9600000000000009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</row>
        <row r="97">
          <cell r="G97" t="str">
            <v>Power limited?</v>
          </cell>
          <cell r="H97" t="str">
            <v>Time delta (s)</v>
          </cell>
          <cell r="J97">
            <v>2.4E-2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</row>
        <row r="98">
          <cell r="F98" t="str">
            <v>Cruise - no grade, laden</v>
          </cell>
          <cell r="H98" t="str">
            <v>Distance (m)</v>
          </cell>
          <cell r="J98">
            <v>2.8176000000000003E-2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</row>
        <row r="99">
          <cell r="G99" t="str">
            <v>Total force to accelerate - full grade, laden (kN)</v>
          </cell>
          <cell r="H99" t="str">
            <v>Final speed (m/s)</v>
          </cell>
          <cell r="J99">
            <v>1.1504800000000002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</row>
        <row r="100">
          <cell r="G100" t="str">
            <v>Torque per wheel to cruise - no grade, laden (kNm)</v>
          </cell>
          <cell r="H100" t="str">
            <v>Torque percentage</v>
          </cell>
          <cell r="J100">
            <v>1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</row>
        <row r="101">
          <cell r="G101" t="str">
            <v>Motor output torque to cruise  - no grade, laden (kNm)</v>
          </cell>
          <cell r="H101" t="str">
            <v>Acceleration (m/s/s)</v>
          </cell>
          <cell r="J101">
            <v>-1.9600000000000009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</row>
        <row r="102">
          <cell r="G102" t="str">
            <v>Power per wheel to cruise - 100% speed, no grade, laden, unlimited (kw)</v>
          </cell>
          <cell r="H102" t="str">
            <v>Time delta (s)</v>
          </cell>
          <cell r="J102">
            <v>0.58697959183673454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</row>
        <row r="103">
          <cell r="G103" t="str">
            <v>Power per wheel to cruise - 100% speed, no grade, laden, limited (kw)</v>
          </cell>
          <cell r="H103" t="str">
            <v>Distance (m)</v>
          </cell>
          <cell r="J103">
            <v>0.33765414040816322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</row>
        <row r="104">
          <cell r="G104" t="str">
            <v>Power limited?</v>
          </cell>
          <cell r="H104" t="str">
            <v>Final speed (m/s)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</row>
        <row r="105">
          <cell r="F105" t="str">
            <v>Power limited drive performance</v>
          </cell>
          <cell r="H105" t="str">
            <v>Duration for emergency stop (s)</v>
          </cell>
          <cell r="J105">
            <v>0.75697959183673458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</row>
        <row r="106">
          <cell r="G106" t="str">
            <v>Power per wheel to accelerate - 100% speed, power limited (kw)</v>
          </cell>
          <cell r="H106" t="str">
            <v>Distance for emergency stop (m)</v>
          </cell>
          <cell r="J106">
            <v>0.50343886040816321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</row>
        <row r="107">
          <cell r="G107" t="str">
            <v>Total force to accelerate - 100% speed, power limited (kN)</v>
          </cell>
          <cell r="H107" t="str">
            <v>Braking energy (kJ)</v>
          </cell>
          <cell r="J107">
            <v>235.69201243636363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</row>
        <row r="108">
          <cell r="G108" t="str">
            <v>Torque per wheel to accelerate - 100% speed, power limited (kNm)</v>
          </cell>
          <cell r="H108" t="str">
            <v>Braking energy per brake (kJ)</v>
          </cell>
          <cell r="J108">
            <v>117.84600621818181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</row>
        <row r="109">
          <cell r="G109" t="str">
            <v>Motor output torque - full grade, laden (kNm)</v>
          </cell>
          <cell r="H109" t="str">
            <v>Braking power per brake (kW)</v>
          </cell>
          <cell r="J109">
            <v>155.6792382371107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</row>
        <row r="110">
          <cell r="F110" t="str">
            <v>Loadings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</row>
        <row r="111">
          <cell r="G111" t="str">
            <v>Moving mass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</row>
        <row r="112">
          <cell r="E112" t="str">
            <v>Drive</v>
          </cell>
          <cell r="F112">
            <v>0</v>
          </cell>
          <cell r="G112">
            <v>0</v>
          </cell>
          <cell r="H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</row>
        <row r="113">
          <cell r="F113" t="str">
            <v>Number of wheels</v>
          </cell>
          <cell r="H113" t="str">
            <v>Mass of lift assembly</v>
          </cell>
          <cell r="J113">
            <v>4</v>
          </cell>
          <cell r="K113">
            <v>4</v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</row>
        <row r="114">
          <cell r="F114" t="str">
            <v>Number of drive wheels</v>
          </cell>
          <cell r="H114" t="str">
            <v>Total mass of cross travel (kg)</v>
          </cell>
          <cell r="J114">
            <v>2</v>
          </cell>
          <cell r="K114">
            <v>2</v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  <cell r="S114" t="str">
            <v/>
          </cell>
          <cell r="T114" t="str">
            <v/>
          </cell>
          <cell r="U114" t="str">
            <v/>
          </cell>
        </row>
        <row r="115">
          <cell r="F115" t="str">
            <v>Drive total energy efficiency (%)</v>
          </cell>
          <cell r="H115" t="str">
            <v>Load eccentricity factor</v>
          </cell>
          <cell r="J115">
            <v>0.8</v>
          </cell>
          <cell r="K115">
            <v>0.85</v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  <cell r="S115" t="str">
            <v/>
          </cell>
          <cell r="T115" t="str">
            <v/>
          </cell>
          <cell r="U115" t="str">
            <v/>
          </cell>
        </row>
        <row r="116">
          <cell r="F116" t="str">
            <v>Wheel radius - static loaded (mm)</v>
          </cell>
          <cell r="G116" t="str">
            <v>Fixed mass</v>
          </cell>
          <cell r="J116">
            <v>764</v>
          </cell>
          <cell r="K116">
            <v>590</v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 t="str">
            <v/>
          </cell>
          <cell r="T116" t="str">
            <v/>
          </cell>
          <cell r="U116" t="str">
            <v/>
          </cell>
        </row>
        <row r="117">
          <cell r="F117" t="str">
            <v>Wheel circumference - rolling loaded (mm)</v>
          </cell>
          <cell r="H117" t="str">
            <v>Unladen mass of machine - includes lift assembly (kg)</v>
          </cell>
          <cell r="J117">
            <v>4952</v>
          </cell>
          <cell r="K117">
            <v>3720</v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  <cell r="S117" t="str">
            <v/>
          </cell>
          <cell r="T117" t="str">
            <v/>
          </cell>
          <cell r="U117" t="str">
            <v/>
          </cell>
        </row>
        <row r="118">
          <cell r="F118" t="str">
            <v>Target speed (m/s)</v>
          </cell>
          <cell r="H118" t="str">
            <v>Total structural mass offset - engine/cab/etc (kg)</v>
          </cell>
          <cell r="J118">
            <v>1.9444444444444444</v>
          </cell>
          <cell r="K118">
            <v>1.3888888888888888</v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  <cell r="S118" t="str">
            <v/>
          </cell>
          <cell r="T118" t="str">
            <v/>
          </cell>
          <cell r="U118" t="str">
            <v/>
          </cell>
        </row>
        <row r="119">
          <cell r="C119">
            <v>66</v>
          </cell>
          <cell r="F119" t="str">
            <v>Target speed (rpm)</v>
          </cell>
          <cell r="H119" t="str">
            <v>Mass of fixed components less offsets (kg)</v>
          </cell>
          <cell r="J119">
            <v>23.559504577275174</v>
          </cell>
          <cell r="K119">
            <v>22.401433691756271</v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</row>
        <row r="120">
          <cell r="C120">
            <v>0</v>
          </cell>
          <cell r="F120" t="str">
            <v>Rolling resistance</v>
          </cell>
          <cell r="G120" t="str">
            <v>Max radial wheel loading (kg)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</row>
        <row r="121">
          <cell r="C121">
            <v>0</v>
          </cell>
          <cell r="F121" t="str">
            <v>Coefficient rolling resistance</v>
          </cell>
          <cell r="G121" t="str">
            <v>Min radial wheel loading (kg)</v>
          </cell>
          <cell r="J121">
            <v>1.7999999999999999E-2</v>
          </cell>
          <cell r="K121">
            <v>1.7999999999999999E-2</v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  <cell r="S121" t="str">
            <v/>
          </cell>
          <cell r="T121" t="str">
            <v/>
          </cell>
          <cell r="U121" t="str">
            <v/>
          </cell>
        </row>
        <row r="122">
          <cell r="G122" t="str">
            <v>Force to overcome tractive effort (kN)</v>
          </cell>
          <cell r="J122">
            <v>12.700799999999999</v>
          </cell>
          <cell r="K122">
            <v>7.4088000000000003</v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</row>
        <row r="123">
          <cell r="C123">
            <v>0</v>
          </cell>
          <cell r="F123" t="str">
            <v>Acceleration</v>
          </cell>
          <cell r="G123" t="str">
            <v>Max axial load per wheel (kg)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</row>
        <row r="124">
          <cell r="G124" t="str">
            <v>Rated acceleration and deceleration (m/s/s)</v>
          </cell>
          <cell r="J124">
            <v>0.3</v>
          </cell>
          <cell r="K124">
            <v>0.35</v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</row>
        <row r="125">
          <cell r="E125" t="str">
            <v>Duty Cycle</v>
          </cell>
          <cell r="G125" t="str">
            <v>Force to accelerate on flat (kN)</v>
          </cell>
          <cell r="J125">
            <v>21.6</v>
          </cell>
          <cell r="K125">
            <v>14.699999999999998</v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</row>
        <row r="126">
          <cell r="F126" t="str">
            <v>Grade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</row>
        <row r="127">
          <cell r="G127" t="str">
            <v>Grade</v>
          </cell>
          <cell r="J127">
            <v>0.02</v>
          </cell>
          <cell r="K127">
            <v>0.03</v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  <cell r="S127" t="str">
            <v/>
          </cell>
          <cell r="T127" t="str">
            <v/>
          </cell>
          <cell r="U127" t="str">
            <v/>
          </cell>
        </row>
        <row r="128">
          <cell r="G128" t="str">
            <v>Force to move up grade (kN)</v>
          </cell>
          <cell r="J128">
            <v>14.112</v>
          </cell>
          <cell r="K128">
            <v>12.348000000000003</v>
          </cell>
          <cell r="L128" t="str">
            <v/>
          </cell>
          <cell r="M128" t="str">
            <v/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  <cell r="S128" t="str">
            <v/>
          </cell>
          <cell r="T128" t="str">
            <v/>
          </cell>
          <cell r="U128" t="str">
            <v/>
          </cell>
        </row>
        <row r="129">
          <cell r="F129" t="str">
            <v>Gearbox and motor selection</v>
          </cell>
          <cell r="G129" t="str">
            <v>Average distance to travel round trip (m)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</row>
        <row r="130">
          <cell r="C130">
            <v>65</v>
          </cell>
          <cell r="G130" t="str">
            <v>Drive gearbox ratio (n:1)</v>
          </cell>
          <cell r="J130">
            <v>124</v>
          </cell>
          <cell r="K130">
            <v>130</v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  <cell r="S130" t="str">
            <v/>
          </cell>
          <cell r="T130" t="str">
            <v/>
          </cell>
          <cell r="U130" t="str">
            <v/>
          </cell>
        </row>
        <row r="131">
          <cell r="C131">
            <v>67</v>
          </cell>
          <cell r="G131" t="str">
            <v>Motor speed at rated power (rpm)</v>
          </cell>
          <cell r="J131">
            <v>2921.3785675821214</v>
          </cell>
          <cell r="K131">
            <v>2912.1863799283151</v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  <cell r="S131" t="str">
            <v/>
          </cell>
          <cell r="T131" t="str">
            <v/>
          </cell>
          <cell r="U131" t="str">
            <v/>
          </cell>
        </row>
        <row r="132">
          <cell r="G132" t="str">
            <v>Life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F133" t="str">
            <v>Lift</v>
          </cell>
          <cell r="H133" t="str">
            <v>Machine average travel distance (m/cycle)</v>
          </cell>
          <cell r="J133">
            <v>200</v>
          </cell>
          <cell r="K133">
            <v>500</v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  <cell r="S133" t="str">
            <v/>
          </cell>
          <cell r="T133" t="str">
            <v/>
          </cell>
          <cell r="U133" t="str">
            <v/>
          </cell>
        </row>
        <row r="134">
          <cell r="G134" t="str">
            <v>Average distance to lift load (m)</v>
          </cell>
          <cell r="H134" t="str">
            <v>Machine life (duty cycles)</v>
          </cell>
          <cell r="J134">
            <v>200000</v>
          </cell>
          <cell r="K134">
            <v>200000</v>
          </cell>
          <cell r="L134" t="str">
            <v/>
          </cell>
          <cell r="M134" t="str">
            <v/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  <cell r="S134" t="str">
            <v/>
          </cell>
          <cell r="T134" t="str">
            <v/>
          </cell>
          <cell r="U134" t="str">
            <v/>
          </cell>
        </row>
        <row r="135">
          <cell r="C135">
            <v>68</v>
          </cell>
          <cell r="G135" t="str">
            <v>Laden</v>
          </cell>
          <cell r="H135" t="str">
            <v>Required gearbox life - output revolutions, all loads (wheel or output rev)</v>
          </cell>
          <cell r="J135">
            <v>8100000</v>
          </cell>
          <cell r="K135">
            <v>26900000</v>
          </cell>
          <cell r="L135" t="str">
            <v/>
          </cell>
          <cell r="M135" t="str">
            <v/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  <cell r="S135" t="str">
            <v/>
          </cell>
          <cell r="T135" t="str">
            <v/>
          </cell>
          <cell r="U135" t="str">
            <v/>
          </cell>
        </row>
        <row r="136">
          <cell r="F136" t="str">
            <v>Accelerate - no grade, laden</v>
          </cell>
          <cell r="H136" t="str">
            <v>Laden lift mass (kg)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G137" t="str">
            <v>Total force to accelerate - no grade, laden, unlimited (kN)</v>
          </cell>
          <cell r="H137" t="str">
            <v>Ratio of mass to peak</v>
          </cell>
          <cell r="J137">
            <v>34.300800000000002</v>
          </cell>
          <cell r="K137">
            <v>22.108799999999999</v>
          </cell>
          <cell r="L137" t="str">
            <v/>
          </cell>
          <cell r="M137" t="str">
            <v/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  <cell r="S137" t="str">
            <v/>
          </cell>
          <cell r="T137" t="str">
            <v/>
          </cell>
          <cell r="U137" t="str">
            <v/>
          </cell>
        </row>
        <row r="138">
          <cell r="G138" t="str">
            <v>Torque per wheel to accelerate - no grade, laden (kNm)</v>
          </cell>
          <cell r="H138" t="str">
            <v>Torque per winch to lift - laden (kNm)</v>
          </cell>
          <cell r="J138">
            <v>13.1029056</v>
          </cell>
          <cell r="K138">
            <v>6.5220959999999994</v>
          </cell>
          <cell r="L138" t="str">
            <v/>
          </cell>
          <cell r="M138" t="str">
            <v/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  <cell r="S138" t="str">
            <v/>
          </cell>
          <cell r="T138" t="str">
            <v/>
          </cell>
          <cell r="U138" t="str">
            <v/>
          </cell>
        </row>
        <row r="139">
          <cell r="C139">
            <v>0</v>
          </cell>
          <cell r="G139" t="str">
            <v>Motor output torque - no grade, laden (kNm)</v>
          </cell>
          <cell r="H139">
            <v>0</v>
          </cell>
          <cell r="J139">
            <v>0.10566859354838709</v>
          </cell>
          <cell r="K139">
            <v>5.0169969230769225E-2</v>
          </cell>
          <cell r="L139" t="str">
            <v/>
          </cell>
          <cell r="M139" t="str">
            <v/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  <cell r="S139" t="str">
            <v/>
          </cell>
          <cell r="T139" t="str">
            <v/>
          </cell>
          <cell r="U139" t="str">
            <v/>
          </cell>
        </row>
        <row r="140">
          <cell r="C140">
            <v>0</v>
          </cell>
          <cell r="G140" t="str">
            <v>Power per wheel to accelerate - 100% speed, no grade, laden, unlimited (kw)</v>
          </cell>
          <cell r="H140" t="str">
            <v>Lift duration (s)</v>
          </cell>
          <cell r="J140">
            <v>41.684999999999995</v>
          </cell>
          <cell r="K140">
            <v>18.062745098039215</v>
          </cell>
          <cell r="L140" t="str">
            <v/>
          </cell>
          <cell r="M140" t="str">
            <v/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</row>
        <row r="141">
          <cell r="C141">
            <v>0</v>
          </cell>
          <cell r="G141" t="str">
            <v>Power per wheel to accelerate - 100% speed, no grade, laden, limited (kw)</v>
          </cell>
          <cell r="H141" t="str">
            <v>Motor speed at rated power (rpm)</v>
          </cell>
          <cell r="J141">
            <v>40</v>
          </cell>
          <cell r="K141">
            <v>15</v>
          </cell>
          <cell r="L141" t="str">
            <v/>
          </cell>
          <cell r="M141" t="str">
            <v/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</row>
        <row r="142">
          <cell r="C142">
            <v>0</v>
          </cell>
          <cell r="G142" t="str">
            <v>Power limited?</v>
          </cell>
          <cell r="H142" t="str">
            <v>Power per winch to lift - 100% speed, laden, unlimited (kw)</v>
          </cell>
          <cell r="J142" t="str">
            <v>yes</v>
          </cell>
          <cell r="K142" t="str">
            <v>yes</v>
          </cell>
          <cell r="L142" t="str">
            <v/>
          </cell>
          <cell r="M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  <cell r="S142" t="str">
            <v/>
          </cell>
          <cell r="T142" t="str">
            <v/>
          </cell>
          <cell r="U142" t="str">
            <v/>
          </cell>
        </row>
        <row r="143">
          <cell r="F143" t="str">
            <v>Accelerate - full grade, laden</v>
          </cell>
          <cell r="H143" t="str">
            <v>Torque per winch to lower - laden (kNm)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</row>
        <row r="144">
          <cell r="C144">
            <v>0</v>
          </cell>
          <cell r="G144" t="str">
            <v>Total force to accelerate - full grade, laden (kN)</v>
          </cell>
          <cell r="H144" t="str">
            <v>Motor output torque - lower, laden (kNm)</v>
          </cell>
          <cell r="J144">
            <v>48.412800000000004</v>
          </cell>
          <cell r="K144">
            <v>34.456800000000001</v>
          </cell>
          <cell r="L144" t="str">
            <v/>
          </cell>
          <cell r="M144" t="str">
            <v/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  <cell r="S144" t="str">
            <v/>
          </cell>
          <cell r="T144" t="str">
            <v/>
          </cell>
          <cell r="U144" t="str">
            <v/>
          </cell>
        </row>
        <row r="145">
          <cell r="C145">
            <v>0</v>
          </cell>
          <cell r="G145" t="str">
            <v>Torque per wheel to accelerate - full grade, laden (kNm)</v>
          </cell>
          <cell r="H145" t="str">
            <v>Lower duration (s)</v>
          </cell>
          <cell r="J145">
            <v>18.493689600000003</v>
          </cell>
          <cell r="K145">
            <v>10.164756000000001</v>
          </cell>
          <cell r="L145" t="str">
            <v/>
          </cell>
          <cell r="M145" t="str">
            <v/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  <cell r="S145" t="str">
            <v/>
          </cell>
          <cell r="T145" t="str">
            <v/>
          </cell>
          <cell r="U145" t="str">
            <v/>
          </cell>
        </row>
        <row r="146">
          <cell r="C146">
            <v>0</v>
          </cell>
          <cell r="G146" t="str">
            <v>Motor output torque - full grade, laden (kNm)</v>
          </cell>
          <cell r="H146">
            <v>0</v>
          </cell>
          <cell r="J146">
            <v>0.14914265806451615</v>
          </cell>
          <cell r="K146">
            <v>7.8190430769230768E-2</v>
          </cell>
          <cell r="L146" t="str">
            <v/>
          </cell>
          <cell r="M146" t="str">
            <v/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  <cell r="S146" t="str">
            <v/>
          </cell>
          <cell r="T146" t="str">
            <v/>
          </cell>
          <cell r="U146" t="str">
            <v/>
          </cell>
        </row>
        <row r="147">
          <cell r="C147">
            <v>0</v>
          </cell>
          <cell r="G147" t="str">
            <v>Power per wheel to accelerate - 100% speed, full grade, laden, unlimited (kw)</v>
          </cell>
          <cell r="H147" t="str">
            <v>Power per winch to lower - 100% speed, laden, unlimited (kw)</v>
          </cell>
          <cell r="J147">
            <v>58.835000000000001</v>
          </cell>
          <cell r="K147">
            <v>28.150980392156864</v>
          </cell>
          <cell r="L147" t="str">
            <v/>
          </cell>
          <cell r="M147" t="str">
            <v/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  <cell r="S147" t="str">
            <v/>
          </cell>
          <cell r="T147" t="str">
            <v/>
          </cell>
          <cell r="U147" t="str">
            <v/>
          </cell>
        </row>
        <row r="148">
          <cell r="G148" t="str">
            <v>Power per wheel to accelerate - 100% speed, full grade, laden, limited (kw)</v>
          </cell>
          <cell r="J148">
            <v>40</v>
          </cell>
          <cell r="K148">
            <v>15</v>
          </cell>
          <cell r="L148" t="str">
            <v/>
          </cell>
          <cell r="M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/>
          </cell>
          <cell r="T148" t="str">
            <v/>
          </cell>
          <cell r="U148" t="str">
            <v/>
          </cell>
        </row>
        <row r="149">
          <cell r="G149" t="str">
            <v>Power limited?</v>
          </cell>
          <cell r="H149" t="str">
            <v>Unladen lift mass (kg)</v>
          </cell>
          <cell r="J149" t="str">
            <v>yes</v>
          </cell>
          <cell r="K149" t="str">
            <v>yes</v>
          </cell>
          <cell r="L149" t="str">
            <v/>
          </cell>
          <cell r="M149" t="str">
            <v/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  <cell r="S149" t="str">
            <v/>
          </cell>
          <cell r="T149" t="str">
            <v/>
          </cell>
          <cell r="U149" t="str">
            <v/>
          </cell>
        </row>
        <row r="150">
          <cell r="F150" t="str">
            <v>Brake - no grade, laden</v>
          </cell>
          <cell r="H150" t="str">
            <v>Ratio of mass to peak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</row>
        <row r="151">
          <cell r="G151" t="str">
            <v>Total force to brake - no grade, laden, unlimited (kN)</v>
          </cell>
          <cell r="H151" t="str">
            <v>Torque per winch to lift - laden (kNm)</v>
          </cell>
          <cell r="J151">
            <v>8.8992000000000022</v>
          </cell>
          <cell r="K151">
            <v>7.2911999999999972</v>
          </cell>
          <cell r="L151" t="str">
            <v/>
          </cell>
          <cell r="M151" t="str">
            <v/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  <cell r="S151" t="str">
            <v/>
          </cell>
          <cell r="T151" t="str">
            <v/>
          </cell>
          <cell r="U151" t="str">
            <v/>
          </cell>
        </row>
        <row r="152">
          <cell r="C152">
            <v>0</v>
          </cell>
          <cell r="G152" t="str">
            <v>Torque per wheel to brake - no grade, laden (kNm)</v>
          </cell>
          <cell r="H152" t="str">
            <v>Motor output torque - lift, laden (kNm)</v>
          </cell>
          <cell r="J152">
            <v>3.3994944000000009</v>
          </cell>
          <cell r="K152">
            <v>2.1509039999999993</v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  <cell r="T152" t="str">
            <v/>
          </cell>
          <cell r="U152" t="str">
            <v/>
          </cell>
        </row>
        <row r="153">
          <cell r="C153">
            <v>0</v>
          </cell>
          <cell r="G153" t="str">
            <v>Motor output torque - no grade, laden (kNm)</v>
          </cell>
          <cell r="H153">
            <v>0</v>
          </cell>
          <cell r="J153">
            <v>2.7415277419354848E-2</v>
          </cell>
          <cell r="K153">
            <v>1.6545415384615379E-2</v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/>
          </cell>
          <cell r="T153" t="str">
            <v/>
          </cell>
          <cell r="U153" t="str">
            <v/>
          </cell>
        </row>
        <row r="154">
          <cell r="C154">
            <v>0</v>
          </cell>
          <cell r="G154" t="str">
            <v>Power per wheel to brake - 100% speed, no grade, laden, unlimited (kw)</v>
          </cell>
          <cell r="H154" t="str">
            <v>Motor speed at rated power (rpm)</v>
          </cell>
          <cell r="J154">
            <v>10.815000000000003</v>
          </cell>
          <cell r="K154">
            <v>5.9568627450980367</v>
          </cell>
          <cell r="L154" t="str">
            <v/>
          </cell>
          <cell r="M154" t="str">
            <v/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  <cell r="S154" t="str">
            <v/>
          </cell>
          <cell r="T154" t="str">
            <v/>
          </cell>
          <cell r="U154" t="str">
            <v/>
          </cell>
        </row>
        <row r="155">
          <cell r="C155">
            <v>0</v>
          </cell>
          <cell r="G155" t="str">
            <v>Power per wheel to brake - 100% speed, no grade, laden, limited (kw)</v>
          </cell>
          <cell r="H155" t="str">
            <v>Power per winch to lift - 100% speed, laden, unlimited (kw)</v>
          </cell>
          <cell r="J155">
            <v>10.815000000000003</v>
          </cell>
          <cell r="K155">
            <v>5.9568627450980367</v>
          </cell>
          <cell r="L155" t="str">
            <v/>
          </cell>
          <cell r="M155" t="str">
            <v/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  <cell r="S155" t="str">
            <v/>
          </cell>
          <cell r="T155" t="str">
            <v/>
          </cell>
          <cell r="U155" t="str">
            <v/>
          </cell>
        </row>
        <row r="156">
          <cell r="G156" t="str">
            <v>Power limited?</v>
          </cell>
          <cell r="H156" t="str">
            <v>Torque per winch to lift - laden (kNm)</v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  <cell r="S156" t="str">
            <v/>
          </cell>
          <cell r="T156" t="str">
            <v/>
          </cell>
          <cell r="U156" t="str">
            <v/>
          </cell>
        </row>
        <row r="157">
          <cell r="C157">
            <v>0</v>
          </cell>
          <cell r="F157" t="str">
            <v>Brake - full grade, laden</v>
          </cell>
          <cell r="H157" t="str">
            <v>Motor output torque - lower, laden (kNm)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</row>
        <row r="158">
          <cell r="C158">
            <v>0</v>
          </cell>
          <cell r="G158" t="str">
            <v>Total force to brake - full grade, laden (kN)</v>
          </cell>
          <cell r="H158" t="str">
            <v>Lower duration (s)</v>
          </cell>
          <cell r="J158">
            <v>23.011200000000002</v>
          </cell>
          <cell r="K158">
            <v>19.639199999999999</v>
          </cell>
          <cell r="L158" t="str">
            <v/>
          </cell>
          <cell r="M158" t="str">
            <v/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</row>
        <row r="159">
          <cell r="C159">
            <v>0</v>
          </cell>
          <cell r="G159" t="str">
            <v>Torque per wheel to brake - full grade, laden (kNm)</v>
          </cell>
          <cell r="H159" t="str">
            <v>Motor speed at rated power (rpm)</v>
          </cell>
          <cell r="J159">
            <v>8.7902784000000018</v>
          </cell>
          <cell r="K159">
            <v>5.793563999999999</v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  <cell r="S159" t="str">
            <v/>
          </cell>
          <cell r="T159" t="str">
            <v/>
          </cell>
          <cell r="U159" t="str">
            <v/>
          </cell>
        </row>
        <row r="160">
          <cell r="C160">
            <v>0</v>
          </cell>
          <cell r="G160" t="str">
            <v>Motor output torque - full grade, laden (kNm)</v>
          </cell>
          <cell r="H160">
            <v>0</v>
          </cell>
          <cell r="J160">
            <v>7.0889341935483879E-2</v>
          </cell>
          <cell r="K160">
            <v>4.4565876923076918E-2</v>
          </cell>
          <cell r="L160" t="str">
            <v/>
          </cell>
          <cell r="M160" t="str">
            <v/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  <cell r="S160" t="str">
            <v/>
          </cell>
          <cell r="T160" t="str">
            <v/>
          </cell>
          <cell r="U160" t="str">
            <v/>
          </cell>
        </row>
        <row r="161">
          <cell r="F161" t="str">
            <v>Acceleration and Braking</v>
          </cell>
          <cell r="G161" t="str">
            <v>Power per wheel to brake - 100% speed, full grade, laden, unlimited (kw)</v>
          </cell>
          <cell r="J161">
            <v>27.965000000000003</v>
          </cell>
          <cell r="K161">
            <v>16.045098039215684</v>
          </cell>
          <cell r="L161" t="str">
            <v/>
          </cell>
          <cell r="M161" t="str">
            <v/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  <cell r="S161" t="str">
            <v/>
          </cell>
          <cell r="T161" t="str">
            <v/>
          </cell>
          <cell r="U161" t="str">
            <v/>
          </cell>
        </row>
        <row r="162">
          <cell r="G162" t="str">
            <v>Power per wheel to brake - 100% speed, full grade, laden, limited (kw)</v>
          </cell>
          <cell r="J162">
            <v>27.965000000000003</v>
          </cell>
          <cell r="K162">
            <v>15</v>
          </cell>
          <cell r="L162" t="str">
            <v/>
          </cell>
          <cell r="M162" t="str">
            <v/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  <cell r="S162" t="str">
            <v/>
          </cell>
          <cell r="T162" t="str">
            <v/>
          </cell>
          <cell r="U162" t="str">
            <v/>
          </cell>
        </row>
        <row r="163">
          <cell r="G163" t="str">
            <v>Power limited?</v>
          </cell>
          <cell r="H163" t="str">
            <v>Laden mass (kg)</v>
          </cell>
          <cell r="J163" t="str">
            <v/>
          </cell>
          <cell r="K163" t="str">
            <v>yes</v>
          </cell>
          <cell r="L163" t="str">
            <v/>
          </cell>
          <cell r="M163" t="str">
            <v/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  <cell r="S163" t="str">
            <v/>
          </cell>
          <cell r="T163" t="str">
            <v/>
          </cell>
          <cell r="U163" t="str">
            <v/>
          </cell>
        </row>
        <row r="164">
          <cell r="F164" t="str">
            <v>Cruise - no grade, laden</v>
          </cell>
          <cell r="H164" t="str">
            <v>Ratio of mass to peak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</row>
        <row r="165">
          <cell r="G165" t="str">
            <v>Total force to accelerate - full grade, laden (kN)</v>
          </cell>
          <cell r="H165" t="str">
            <v>Torque per wheel to accelerate - laden, unlimited (kNm)</v>
          </cell>
          <cell r="J165">
            <v>12.700799999999999</v>
          </cell>
          <cell r="K165">
            <v>7.4088000000000003</v>
          </cell>
          <cell r="L165" t="str">
            <v/>
          </cell>
          <cell r="M165" t="str">
            <v/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  <cell r="S165" t="str">
            <v/>
          </cell>
          <cell r="T165" t="str">
            <v/>
          </cell>
          <cell r="U165" t="str">
            <v/>
          </cell>
        </row>
        <row r="166">
          <cell r="C166">
            <v>0</v>
          </cell>
          <cell r="G166" t="str">
            <v>Torque per wheel to cruise - no grade, laden (kNm)</v>
          </cell>
          <cell r="H166" t="str">
            <v>Motor output torque to accelerate - laden, unlimited (kNm)</v>
          </cell>
          <cell r="J166">
            <v>4.851705599999999</v>
          </cell>
          <cell r="K166">
            <v>2.1855959999999999</v>
          </cell>
          <cell r="L166" t="str">
            <v/>
          </cell>
          <cell r="M166" t="str">
            <v/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  <cell r="S166" t="str">
            <v/>
          </cell>
          <cell r="T166" t="str">
            <v/>
          </cell>
          <cell r="U166" t="str">
            <v/>
          </cell>
        </row>
        <row r="167">
          <cell r="C167">
            <v>0</v>
          </cell>
          <cell r="G167" t="str">
            <v>Motor output torque to cruise  - no grade, laden (kNm)</v>
          </cell>
          <cell r="H167">
            <v>0</v>
          </cell>
          <cell r="J167">
            <v>3.9126658064516123E-2</v>
          </cell>
          <cell r="K167">
            <v>1.6812276923076921E-2</v>
          </cell>
          <cell r="L167" t="str">
            <v/>
          </cell>
          <cell r="M167" t="str">
            <v/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  <cell r="S167" t="str">
            <v/>
          </cell>
          <cell r="T167" t="str">
            <v/>
          </cell>
          <cell r="U167" t="str">
            <v/>
          </cell>
        </row>
        <row r="168">
          <cell r="C168">
            <v>0</v>
          </cell>
          <cell r="G168" t="str">
            <v>Power per wheel to cruise - 100% speed, no grade, laden, unlimited (kw)</v>
          </cell>
          <cell r="H168" t="str">
            <v>Max motor speed for drive (rpm)</v>
          </cell>
          <cell r="J168">
            <v>15.434999999999999</v>
          </cell>
          <cell r="K168">
            <v>6.052941176470588</v>
          </cell>
          <cell r="L168" t="str">
            <v/>
          </cell>
          <cell r="M168" t="str">
            <v/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  <cell r="S168" t="str">
            <v/>
          </cell>
          <cell r="T168" t="str">
            <v/>
          </cell>
          <cell r="U168" t="str">
            <v/>
          </cell>
        </row>
        <row r="169">
          <cell r="C169">
            <v>0</v>
          </cell>
          <cell r="G169" t="str">
            <v>Power per wheel to cruise - 100% speed, no grade, laden, limited (kw)</v>
          </cell>
          <cell r="H169" t="str">
            <v>Power per wheel to accelerate - 100% speed, laden, limited (kw)</v>
          </cell>
          <cell r="J169">
            <v>15.434999999999999</v>
          </cell>
          <cell r="K169">
            <v>6.052941176470588</v>
          </cell>
          <cell r="L169" t="str">
            <v/>
          </cell>
          <cell r="M169" t="str">
            <v/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  <cell r="S169" t="str">
            <v/>
          </cell>
          <cell r="T169" t="str">
            <v/>
          </cell>
          <cell r="U169" t="str">
            <v/>
          </cell>
        </row>
        <row r="170">
          <cell r="G170" t="str">
            <v>Power limited?</v>
          </cell>
          <cell r="H170" t="str">
            <v>Torque per wheel to accelerate - laden, limited (kNm)</v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  <cell r="T170" t="str">
            <v/>
          </cell>
          <cell r="U170" t="str">
            <v/>
          </cell>
        </row>
        <row r="171">
          <cell r="C171">
            <v>0</v>
          </cell>
          <cell r="F171" t="str">
            <v>Power limited drive performance</v>
          </cell>
          <cell r="H171" t="str">
            <v>Motor output torque to accelerate - laden, limited (kNm)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</row>
        <row r="172">
          <cell r="G172" t="str">
            <v>Power per wheel to accelerate - 100% speed, power limited (kw)</v>
          </cell>
          <cell r="H172" t="str">
            <v>Torque per wheel to brake - laden (kNm)</v>
          </cell>
          <cell r="J172">
            <v>40</v>
          </cell>
          <cell r="K172">
            <v>15</v>
          </cell>
          <cell r="L172" t="str">
            <v/>
          </cell>
          <cell r="M172" t="str">
            <v/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/>
          </cell>
          <cell r="T172" t="str">
            <v/>
          </cell>
          <cell r="U172" t="str">
            <v/>
          </cell>
        </row>
        <row r="173">
          <cell r="C173">
            <v>0</v>
          </cell>
          <cell r="G173" t="str">
            <v>Total force to accelerate - 100% speed, power limited (kN)</v>
          </cell>
          <cell r="H173" t="str">
            <v>Motor output torque - laden (kNm)</v>
          </cell>
          <cell r="J173">
            <v>32.914285714285718</v>
          </cell>
          <cell r="K173">
            <v>18.36</v>
          </cell>
          <cell r="L173" t="str">
            <v/>
          </cell>
          <cell r="M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  <cell r="S173" t="str">
            <v/>
          </cell>
          <cell r="T173" t="str">
            <v/>
          </cell>
          <cell r="U173" t="str">
            <v/>
          </cell>
        </row>
        <row r="174">
          <cell r="C174">
            <v>0</v>
          </cell>
          <cell r="G174" t="str">
            <v>Torque per wheel to accelerate - 100% speed, power limited (kNm)</v>
          </cell>
          <cell r="H174" t="str">
            <v>Brake duration (s)</v>
          </cell>
          <cell r="J174">
            <v>12.573257142857145</v>
          </cell>
          <cell r="K174">
            <v>5.4161999999999999</v>
          </cell>
          <cell r="L174" t="str">
            <v/>
          </cell>
          <cell r="M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/>
          </cell>
          <cell r="T174" t="str">
            <v/>
          </cell>
          <cell r="U174" t="str">
            <v/>
          </cell>
        </row>
        <row r="175">
          <cell r="C175">
            <v>0</v>
          </cell>
          <cell r="G175" t="str">
            <v>Motor output torque - full grade, laden (kNm)</v>
          </cell>
          <cell r="H175">
            <v>0</v>
          </cell>
          <cell r="J175">
            <v>0.10139723502304149</v>
          </cell>
          <cell r="K175">
            <v>4.1663076923076921E-2</v>
          </cell>
          <cell r="L175" t="str">
            <v/>
          </cell>
          <cell r="M175" t="str">
            <v/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  <cell r="S175" t="str">
            <v/>
          </cell>
          <cell r="T175" t="str">
            <v/>
          </cell>
          <cell r="U175" t="str">
            <v/>
          </cell>
        </row>
        <row r="176">
          <cell r="C176">
            <v>0</v>
          </cell>
          <cell r="F176" t="str">
            <v>Loadings</v>
          </cell>
          <cell r="H176" t="str">
            <v>Power per wheel to brake - 100% speed, laden (kw)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</row>
        <row r="177">
          <cell r="G177" t="str">
            <v>Moving mass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</row>
        <row r="178">
          <cell r="H178" t="str">
            <v>Max mass of load (kg)2</v>
          </cell>
          <cell r="J178">
            <v>35000</v>
          </cell>
          <cell r="K178">
            <v>28000</v>
          </cell>
          <cell r="L178" t="str">
            <v/>
          </cell>
          <cell r="M178" t="str">
            <v/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  <cell r="S178" t="str">
            <v/>
          </cell>
          <cell r="T178" t="str">
            <v/>
          </cell>
          <cell r="U178" t="str">
            <v/>
          </cell>
        </row>
        <row r="179">
          <cell r="H179" t="str">
            <v>Mass of lift assembly</v>
          </cell>
          <cell r="J179">
            <v>7000</v>
          </cell>
          <cell r="K179">
            <v>2000</v>
          </cell>
          <cell r="L179" t="str">
            <v/>
          </cell>
          <cell r="M179" t="str">
            <v/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  <cell r="S179" t="str">
            <v/>
          </cell>
          <cell r="T179" t="str">
            <v/>
          </cell>
          <cell r="U179" t="str">
            <v/>
          </cell>
        </row>
        <row r="180">
          <cell r="H180" t="str">
            <v>Total mass of cross travel (kg)</v>
          </cell>
          <cell r="J180">
            <v>5000</v>
          </cell>
          <cell r="K180">
            <v>1000</v>
          </cell>
          <cell r="L180" t="str">
            <v/>
          </cell>
          <cell r="M180" t="str">
            <v/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  <cell r="S180" t="str">
            <v/>
          </cell>
          <cell r="T180" t="str">
            <v/>
          </cell>
          <cell r="U180" t="str">
            <v/>
          </cell>
        </row>
        <row r="181">
          <cell r="C181">
            <v>0</v>
          </cell>
          <cell r="H181" t="str">
            <v>Load eccentricity factor</v>
          </cell>
          <cell r="J181">
            <v>0.75</v>
          </cell>
          <cell r="K181">
            <v>0.6</v>
          </cell>
          <cell r="L181" t="str">
            <v/>
          </cell>
          <cell r="M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  <cell r="S181" t="str">
            <v/>
          </cell>
          <cell r="T181" t="str">
            <v/>
          </cell>
          <cell r="U181" t="str">
            <v/>
          </cell>
        </row>
        <row r="182">
          <cell r="C182">
            <v>0</v>
          </cell>
          <cell r="G182" t="str">
            <v>Fixed mass</v>
          </cell>
          <cell r="H182" t="str">
            <v>Accelerate duration (s)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</row>
        <row r="183">
          <cell r="C183">
            <v>0</v>
          </cell>
          <cell r="H183" t="str">
            <v>Unladen mass of machine - includes lift assembly (kg)</v>
          </cell>
          <cell r="J183">
            <v>37000</v>
          </cell>
          <cell r="K183">
            <v>14000</v>
          </cell>
          <cell r="L183" t="str">
            <v/>
          </cell>
          <cell r="M183" t="str">
            <v/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  <cell r="S183" t="str">
            <v/>
          </cell>
          <cell r="T183" t="str">
            <v/>
          </cell>
          <cell r="U183" t="str">
            <v/>
          </cell>
        </row>
        <row r="184">
          <cell r="C184">
            <v>0</v>
          </cell>
          <cell r="H184" t="str">
            <v>Total structural mass offset - engine/cab/etc (kg)</v>
          </cell>
          <cell r="J184">
            <v>1500</v>
          </cell>
          <cell r="K184">
            <v>1500</v>
          </cell>
          <cell r="L184" t="str">
            <v/>
          </cell>
          <cell r="M184" t="str">
            <v/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/>
          </cell>
          <cell r="T184" t="str">
            <v/>
          </cell>
          <cell r="U184" t="str">
            <v/>
          </cell>
        </row>
        <row r="185">
          <cell r="H185" t="str">
            <v>Mass of fixed components less offsets (kg)</v>
          </cell>
          <cell r="J185">
            <v>23500</v>
          </cell>
          <cell r="K185">
            <v>9500</v>
          </cell>
          <cell r="L185" t="str">
            <v/>
          </cell>
          <cell r="M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/>
          </cell>
          <cell r="T185" t="str">
            <v/>
          </cell>
          <cell r="U185" t="str">
            <v/>
          </cell>
        </row>
        <row r="186">
          <cell r="C186">
            <v>70</v>
          </cell>
          <cell r="G186" t="str">
            <v>Max radial wheel loading (kg)</v>
          </cell>
          <cell r="H186" t="str">
            <v>Motor output torque to accelerate - laden, unlimited (kNm)</v>
          </cell>
          <cell r="J186">
            <v>24250</v>
          </cell>
          <cell r="K186">
            <v>12425</v>
          </cell>
          <cell r="L186" t="str">
            <v/>
          </cell>
          <cell r="M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/>
          </cell>
          <cell r="T186" t="str">
            <v/>
          </cell>
          <cell r="U186" t="str">
            <v/>
          </cell>
        </row>
        <row r="187">
          <cell r="C187">
            <v>71</v>
          </cell>
          <cell r="G187" t="str">
            <v>Min radial wheel loading (kg)</v>
          </cell>
          <cell r="H187" t="str">
            <v>Torque per wheel to brake - unladen (kNm)</v>
          </cell>
          <cell r="J187">
            <v>9250</v>
          </cell>
          <cell r="K187">
            <v>3500</v>
          </cell>
          <cell r="L187" t="str">
            <v/>
          </cell>
          <cell r="M187" t="str">
            <v/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  <cell r="S187" t="str">
            <v/>
          </cell>
          <cell r="T187" t="str">
            <v/>
          </cell>
          <cell r="U187" t="str">
            <v/>
          </cell>
        </row>
        <row r="188">
          <cell r="C188">
            <v>0</v>
          </cell>
          <cell r="G188" t="str">
            <v>Axial load factor (%)</v>
          </cell>
          <cell r="H188" t="str">
            <v>Motor output torque - unladen (kNm)</v>
          </cell>
          <cell r="J188">
            <v>0.1</v>
          </cell>
          <cell r="K188">
            <v>0.1</v>
          </cell>
          <cell r="L188">
            <v>0.1</v>
          </cell>
          <cell r="M188">
            <v>0.1</v>
          </cell>
          <cell r="N188">
            <v>0.1</v>
          </cell>
          <cell r="O188">
            <v>0.1</v>
          </cell>
          <cell r="P188">
            <v>0.1</v>
          </cell>
          <cell r="Q188">
            <v>0.1</v>
          </cell>
          <cell r="R188">
            <v>0.1</v>
          </cell>
          <cell r="S188">
            <v>0.1</v>
          </cell>
          <cell r="T188">
            <v>0.1</v>
          </cell>
          <cell r="U188">
            <v>0.1</v>
          </cell>
        </row>
        <row r="189">
          <cell r="C189">
            <v>72</v>
          </cell>
          <cell r="G189" t="str">
            <v>Max axial load per wheel (kg)</v>
          </cell>
          <cell r="H189" t="str">
            <v>Brake duration (s)</v>
          </cell>
          <cell r="J189">
            <v>2425</v>
          </cell>
          <cell r="K189">
            <v>1242.5</v>
          </cell>
          <cell r="L189" t="str">
            <v/>
          </cell>
          <cell r="M189" t="str">
            <v/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  <cell r="S189" t="str">
            <v/>
          </cell>
          <cell r="T189" t="str">
            <v/>
          </cell>
          <cell r="U189" t="str">
            <v/>
          </cell>
        </row>
        <row r="190">
          <cell r="C190">
            <v>0</v>
          </cell>
          <cell r="H190" t="str">
            <v>Max motor speed for drive (rpm)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</row>
        <row r="191">
          <cell r="C191">
            <v>0</v>
          </cell>
          <cell r="E191" t="str">
            <v>Duty Cycle</v>
          </cell>
          <cell r="F191">
            <v>0</v>
          </cell>
          <cell r="G191">
            <v>0</v>
          </cell>
          <cell r="H191" t="str">
            <v>Power per wheel to brake - 100% speed, unladen (kw)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</row>
        <row r="192">
          <cell r="E192">
            <v>0</v>
          </cell>
          <cell r="F192" t="str">
            <v>Key parameters</v>
          </cell>
          <cell r="G192">
            <v>0</v>
          </cell>
        </row>
        <row r="193">
          <cell r="G193" t="str">
            <v>Name</v>
          </cell>
        </row>
        <row r="194">
          <cell r="G194" t="str">
            <v>Description</v>
          </cell>
          <cell r="H194" t="str">
            <v>Travel distance (half of round trip not including acceleration and braking) (m)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</row>
        <row r="195">
          <cell r="G195" t="str">
            <v>Average distance to travel round trip (m)</v>
          </cell>
          <cell r="H195" t="str">
            <v>Laden mass (kg)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</row>
        <row r="196">
          <cell r="G196" t="str">
            <v>Average distance to lift (m)</v>
          </cell>
          <cell r="H196" t="str">
            <v>Ratio of mass to peak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</row>
        <row r="197">
          <cell r="G197" t="str">
            <v>Average mass of load (kg)</v>
          </cell>
          <cell r="H197" t="str">
            <v>Torque per wheel to cruise - no grade, laden (kNm)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C198">
            <v>0</v>
          </cell>
          <cell r="G198" t="str">
            <v>On grade?</v>
          </cell>
          <cell r="H198" t="str">
            <v>Motor output torque to cruise  - no grade, laden (kNm)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</row>
        <row r="199">
          <cell r="C199">
            <v>0</v>
          </cell>
          <cell r="F199" t="str">
            <v>Lift</v>
          </cell>
          <cell r="G199">
            <v>0</v>
          </cell>
          <cell r="H199" t="str">
            <v>Cruise duration (s)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</row>
        <row r="200">
          <cell r="C200">
            <v>0</v>
          </cell>
          <cell r="G200" t="str">
            <v>Average distance to lift load (m)</v>
          </cell>
          <cell r="H200" t="str">
            <v>Motor speed at rated power (rpm)</v>
          </cell>
          <cell r="J200">
            <v>6</v>
          </cell>
          <cell r="K200">
            <v>3</v>
          </cell>
          <cell r="L200" t="str">
            <v/>
          </cell>
          <cell r="M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/>
          </cell>
          <cell r="T200" t="str">
            <v/>
          </cell>
          <cell r="U200" t="str">
            <v/>
          </cell>
        </row>
        <row r="201">
          <cell r="C201">
            <v>0</v>
          </cell>
          <cell r="G201" t="str">
            <v>Laden</v>
          </cell>
          <cell r="H201" t="str">
            <v>Power per wheel to cruise - 100% speed, no grade, laden, limited (kw)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</row>
        <row r="202">
          <cell r="G202" t="str">
            <v>Unladen</v>
          </cell>
          <cell r="H202" t="str">
            <v>Laden lift mass (kg)</v>
          </cell>
          <cell r="J202">
            <v>42000</v>
          </cell>
          <cell r="K202">
            <v>37000</v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  <cell r="T202" t="str">
            <v/>
          </cell>
          <cell r="U202" t="str">
            <v/>
          </cell>
        </row>
        <row r="203">
          <cell r="H203" t="str">
            <v>Ratio of mass to peak</v>
          </cell>
          <cell r="J203">
            <v>1</v>
          </cell>
          <cell r="K203">
            <v>1.2333333333333334</v>
          </cell>
          <cell r="L203" t="str">
            <v/>
          </cell>
          <cell r="M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  <cell r="T203" t="str">
            <v/>
          </cell>
          <cell r="U203" t="str">
            <v/>
          </cell>
        </row>
        <row r="204">
          <cell r="H204" t="str">
            <v>Torque per winch to lift - laden (kNm)</v>
          </cell>
          <cell r="J204">
            <v>27.217050000000004</v>
          </cell>
          <cell r="K204">
            <v>3.9092812499999994</v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</row>
        <row r="205">
          <cell r="C205">
            <v>1</v>
          </cell>
          <cell r="H205" t="str">
            <v>Motor output torque - lift, laden (kNm)</v>
          </cell>
          <cell r="J205">
            <v>8.9388629795060445E-2</v>
          </cell>
          <cell r="K205">
            <v>1.3140441176470587E-2</v>
          </cell>
          <cell r="L205" t="str">
            <v/>
          </cell>
          <cell r="M205" t="str">
            <v/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</row>
        <row r="206">
          <cell r="C206">
            <v>2</v>
          </cell>
          <cell r="H206" t="str">
            <v>Lift duration (s)</v>
          </cell>
          <cell r="J206">
            <v>85.714285714285708</v>
          </cell>
          <cell r="K206">
            <v>3.5294117647058822</v>
          </cell>
          <cell r="L206" t="str">
            <v/>
          </cell>
          <cell r="M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</row>
        <row r="207">
          <cell r="C207">
            <v>3</v>
          </cell>
          <cell r="H207" t="str">
            <v>Motor speed at rated power (rpm)</v>
          </cell>
          <cell r="J207">
            <v>2011.1648982708025</v>
          </cell>
          <cell r="K207">
            <v>151515.50582348436</v>
          </cell>
          <cell r="L207" t="str">
            <v/>
          </cell>
          <cell r="M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</row>
        <row r="208">
          <cell r="C208">
            <v>4</v>
          </cell>
          <cell r="H208" t="str">
            <v>Power per winch to lift - 100% speed, laden, unlimited (kw)</v>
          </cell>
          <cell r="J208">
            <v>18.826022727272733</v>
          </cell>
          <cell r="K208">
            <v>208.49500000000003</v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</row>
        <row r="209">
          <cell r="C209">
            <v>0</v>
          </cell>
          <cell r="H209" t="str">
            <v>Torque per winch to lower - laden (kNm)</v>
          </cell>
          <cell r="J209">
            <v>27.217050000000004</v>
          </cell>
          <cell r="K209">
            <v>3.9092812499999994</v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</row>
        <row r="210">
          <cell r="C210">
            <v>5</v>
          </cell>
          <cell r="H210" t="str">
            <v>Motor output torque - lower, laden (kNm)</v>
          </cell>
          <cell r="J210">
            <v>8.9388629795060445E-2</v>
          </cell>
          <cell r="K210">
            <v>9.4939687499999981E-3</v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</row>
        <row r="211">
          <cell r="C211">
            <v>6</v>
          </cell>
          <cell r="F211" t="str">
            <v>Other</v>
          </cell>
          <cell r="H211" t="str">
            <v>Lower duration (s)</v>
          </cell>
          <cell r="J211">
            <v>75</v>
          </cell>
          <cell r="K211">
            <v>3.5294117647058822</v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</row>
        <row r="212">
          <cell r="C212">
            <v>7</v>
          </cell>
          <cell r="G212" t="str">
            <v>Idle time at full utilization (s)</v>
          </cell>
          <cell r="H212" t="str">
            <v>Motor speed at rated power (rpm)</v>
          </cell>
          <cell r="J212">
            <v>2298.4741694523459</v>
          </cell>
          <cell r="K212">
            <v>151515.50582348436</v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</row>
        <row r="213">
          <cell r="C213">
            <v>8</v>
          </cell>
          <cell r="H213" t="str">
            <v>Power per winch to lower - 100% speed, laden, unlimited (kw)</v>
          </cell>
          <cell r="J213">
            <v>16.661568000000003</v>
          </cell>
          <cell r="K213">
            <v>150.63763749999998</v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</row>
        <row r="214">
          <cell r="E214" t="str">
            <v>Duty Cycle</v>
          </cell>
          <cell r="G214" t="str">
            <v>Unladen</v>
          </cell>
        </row>
        <row r="215">
          <cell r="F215" t="str">
            <v>Key parameters</v>
          </cell>
          <cell r="H215" t="str">
            <v>Unladen lift mass (kg)</v>
          </cell>
          <cell r="J215">
            <v>7000</v>
          </cell>
          <cell r="K215">
            <v>2000</v>
          </cell>
          <cell r="L215" t="str">
            <v/>
          </cell>
          <cell r="M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</row>
        <row r="216">
          <cell r="G216" t="str">
            <v>Name</v>
          </cell>
          <cell r="H216" t="str">
            <v>Ratio of mass to peak</v>
          </cell>
          <cell r="J216">
            <v>0.16666666666666666</v>
          </cell>
          <cell r="K216">
            <v>6.6666666666666666E-2</v>
          </cell>
          <cell r="L216" t="str">
            <v/>
          </cell>
          <cell r="M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</row>
        <row r="217">
          <cell r="G217" t="str">
            <v>Description</v>
          </cell>
          <cell r="H217" t="str">
            <v>Torque per winch to lift - laden (kNm)</v>
          </cell>
          <cell r="J217">
            <v>4.5361750000000001</v>
          </cell>
          <cell r="K217">
            <v>0.21131249999999996</v>
          </cell>
          <cell r="L217" t="str">
            <v/>
          </cell>
          <cell r="M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</row>
        <row r="218">
          <cell r="C218">
            <v>9</v>
          </cell>
          <cell r="G218" t="str">
            <v>Average distance to travel round trip (m)</v>
          </cell>
          <cell r="H218" t="str">
            <v>Motor output torque - lift, laden (kNm)</v>
          </cell>
          <cell r="J218">
            <v>1.4898104965843408E-2</v>
          </cell>
          <cell r="K218">
            <v>7.1029411764705875E-4</v>
          </cell>
          <cell r="L218" t="str">
            <v/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</row>
        <row r="219">
          <cell r="C219">
            <v>10</v>
          </cell>
          <cell r="G219" t="str">
            <v>Average distance to lift (m)</v>
          </cell>
          <cell r="H219" t="str">
            <v>Lift duration (s)</v>
          </cell>
          <cell r="J219">
            <v>85.714285714285708</v>
          </cell>
          <cell r="K219">
            <v>3.5294117647058822</v>
          </cell>
          <cell r="L219" t="str">
            <v/>
          </cell>
          <cell r="M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</row>
        <row r="220">
          <cell r="C220">
            <v>11</v>
          </cell>
          <cell r="G220" t="str">
            <v>Average mass of load (kg)</v>
          </cell>
          <cell r="H220" t="str">
            <v>Motor speed at rated power (rpm)</v>
          </cell>
          <cell r="J220">
            <v>2011.1648982708025</v>
          </cell>
          <cell r="K220">
            <v>151515.50582348436</v>
          </cell>
          <cell r="L220" t="str">
            <v/>
          </cell>
          <cell r="M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</row>
        <row r="221">
          <cell r="C221">
            <v>12</v>
          </cell>
          <cell r="G221" t="str">
            <v>On grade?</v>
          </cell>
          <cell r="H221" t="str">
            <v>Power per winch to lift - 100% speed, laden, unlimited (kw)</v>
          </cell>
          <cell r="J221">
            <v>3.1376704545454555</v>
          </cell>
          <cell r="K221">
            <v>11.270000000000001</v>
          </cell>
          <cell r="L221" t="str">
            <v/>
          </cell>
          <cell r="M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</row>
        <row r="222">
          <cell r="F222" t="str">
            <v>Lift</v>
          </cell>
          <cell r="H222" t="str">
            <v>Torque per winch to lift - laden (kNm)</v>
          </cell>
          <cell r="J222">
            <v>4.5361750000000001</v>
          </cell>
          <cell r="K222">
            <v>0.21131249999999996</v>
          </cell>
          <cell r="L222" t="str">
            <v/>
          </cell>
          <cell r="M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</row>
        <row r="223">
          <cell r="C223">
            <v>13</v>
          </cell>
          <cell r="G223" t="str">
            <v>Average distance to lift load (m)</v>
          </cell>
          <cell r="H223" t="str">
            <v>Motor output torque - lower, laden (kNm)</v>
          </cell>
          <cell r="J223">
            <v>1.4898104965843408E-2</v>
          </cell>
          <cell r="K223">
            <v>5.1318749999999986E-4</v>
          </cell>
          <cell r="L223" t="str">
            <v/>
          </cell>
          <cell r="M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</row>
        <row r="224">
          <cell r="C224">
            <v>14</v>
          </cell>
          <cell r="G224" t="str">
            <v>Laden</v>
          </cell>
          <cell r="H224" t="str">
            <v>Lower duration (s)</v>
          </cell>
          <cell r="J224">
            <v>75</v>
          </cell>
          <cell r="K224">
            <v>3.5294117647058822</v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</row>
        <row r="225">
          <cell r="C225">
            <v>15</v>
          </cell>
          <cell r="H225" t="str">
            <v>Motor speed at rated power (rpm)</v>
          </cell>
          <cell r="J225">
            <v>2298.4741694523459</v>
          </cell>
          <cell r="K225">
            <v>151515.50582348436</v>
          </cell>
          <cell r="L225" t="str">
            <v/>
          </cell>
          <cell r="M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</row>
        <row r="226">
          <cell r="C226">
            <v>16</v>
          </cell>
          <cell r="H226" t="str">
            <v>Power per winch to lower - 100% speed, laden, unlimited (kw)</v>
          </cell>
          <cell r="J226">
            <v>2.7769280000000003</v>
          </cell>
          <cell r="K226">
            <v>8.142574999999999</v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</row>
        <row r="227">
          <cell r="C227">
            <v>0</v>
          </cell>
          <cell r="F227" t="str">
            <v>Acceleration and Braking</v>
          </cell>
          <cell r="H227" t="str">
            <v>Torque per winch to lift - laden (kNm)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</row>
        <row r="228">
          <cell r="C228">
            <v>0</v>
          </cell>
          <cell r="G228" t="str">
            <v>100% acc, 100% speed, laden</v>
          </cell>
          <cell r="H228" t="str">
            <v>Motor output torque - lift, laden (kNm)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</row>
        <row r="229">
          <cell r="C229">
            <v>0</v>
          </cell>
          <cell r="H229" t="str">
            <v>Laden mass (kg)</v>
          </cell>
          <cell r="J229">
            <v>72000</v>
          </cell>
          <cell r="K229">
            <v>49000</v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</row>
        <row r="230">
          <cell r="C230">
            <v>0</v>
          </cell>
          <cell r="H230" t="str">
            <v>Ratio of mass to peak</v>
          </cell>
          <cell r="J230">
            <v>1</v>
          </cell>
          <cell r="K230">
            <v>1.1666666666666667</v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</row>
        <row r="231">
          <cell r="C231">
            <v>0</v>
          </cell>
          <cell r="H231" t="str">
            <v>Torque per wheel to accelerate - laden, unlimited (kNm)</v>
          </cell>
          <cell r="J231">
            <v>18.493689600000003</v>
          </cell>
          <cell r="K231">
            <v>11.858882000000001</v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</row>
        <row r="232">
          <cell r="C232">
            <v>17</v>
          </cell>
          <cell r="H232" t="str">
            <v>Motor output torque to accelerate - laden, unlimited (kNm)</v>
          </cell>
          <cell r="J232">
            <v>0.14914265806451615</v>
          </cell>
          <cell r="K232">
            <v>9.1222169230769229E-2</v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</row>
        <row r="233">
          <cell r="C233">
            <v>18</v>
          </cell>
          <cell r="H233" t="str">
            <v>Accelerate duration (s)</v>
          </cell>
          <cell r="J233">
            <v>6.4814814814814818</v>
          </cell>
          <cell r="K233">
            <v>3.9682539682539684</v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</row>
        <row r="234">
          <cell r="C234">
            <v>19</v>
          </cell>
          <cell r="H234" t="str">
            <v>Max motor speed for drive (rpm)</v>
          </cell>
          <cell r="J234">
            <v>2921.3785675821214</v>
          </cell>
          <cell r="K234">
            <v>2912.1863799283151</v>
          </cell>
          <cell r="L234" t="str">
            <v/>
          </cell>
          <cell r="M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</row>
        <row r="235">
          <cell r="C235">
            <v>20</v>
          </cell>
          <cell r="H235" t="str">
            <v>Power per wheel to accelerate - 100% speed, laden, limited (kw)</v>
          </cell>
          <cell r="J235">
            <v>40</v>
          </cell>
          <cell r="K235">
            <v>15</v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</row>
        <row r="236">
          <cell r="C236">
            <v>0</v>
          </cell>
          <cell r="H236" t="str">
            <v>Torque per wheel to accelerate - laden, limited (kNm)</v>
          </cell>
          <cell r="J236">
            <v>12.573257142857145</v>
          </cell>
          <cell r="K236">
            <v>5.4161999999999999</v>
          </cell>
          <cell r="L236" t="str">
            <v/>
          </cell>
          <cell r="M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</row>
        <row r="237">
          <cell r="C237">
            <v>41</v>
          </cell>
          <cell r="G237" t="str">
            <v>Unladen</v>
          </cell>
          <cell r="H237" t="str">
            <v>Motor output torque to accelerate - laden, limited (kNm)</v>
          </cell>
          <cell r="J237">
            <v>0.10139723502304149</v>
          </cell>
          <cell r="K237">
            <v>4.1663076923076921E-2</v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</row>
        <row r="238">
          <cell r="H238" t="str">
            <v>Torque per wheel to brake - laden (kNm)</v>
          </cell>
          <cell r="J238">
            <v>8.7902784000000018</v>
          </cell>
          <cell r="K238">
            <v>6.7591579999999993</v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</row>
        <row r="239">
          <cell r="C239">
            <v>21</v>
          </cell>
          <cell r="H239" t="str">
            <v>Motor output torque - laden (kNm)</v>
          </cell>
          <cell r="J239">
            <v>7.0889341935483879E-2</v>
          </cell>
          <cell r="K239">
            <v>5.1993523076923072E-2</v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</row>
        <row r="240">
          <cell r="C240">
            <v>22</v>
          </cell>
          <cell r="H240" t="str">
            <v>Brake duration (s)</v>
          </cell>
          <cell r="J240">
            <v>6.4814814814814818</v>
          </cell>
          <cell r="K240">
            <v>3.9682539682539684</v>
          </cell>
          <cell r="L240" t="str">
            <v/>
          </cell>
          <cell r="M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</row>
        <row r="241">
          <cell r="C241">
            <v>23</v>
          </cell>
          <cell r="H241" t="str">
            <v>Max motor speed for drive (rpm)</v>
          </cell>
          <cell r="J241">
            <v>2921.3785675821214</v>
          </cell>
          <cell r="K241">
            <v>2912.1863799283151</v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</row>
        <row r="242">
          <cell r="C242">
            <v>24</v>
          </cell>
          <cell r="H242" t="str">
            <v>Power per wheel to brake - 100% speed, laden (kw)</v>
          </cell>
          <cell r="J242">
            <v>27.965000000000003</v>
          </cell>
          <cell r="K242">
            <v>15</v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</row>
        <row r="243">
          <cell r="C243">
            <v>0</v>
          </cell>
          <cell r="G243" t="str">
            <v>100% acc, 100% speed, unladen</v>
          </cell>
          <cell r="H243" t="str">
            <v>Motor speed at rated power (rpm)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</row>
        <row r="244">
          <cell r="C244">
            <v>0</v>
          </cell>
          <cell r="H244" t="str">
            <v>Unladen mass (kg)</v>
          </cell>
          <cell r="J244">
            <v>37000</v>
          </cell>
          <cell r="K244">
            <v>14000</v>
          </cell>
          <cell r="L244" t="str">
            <v/>
          </cell>
          <cell r="M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</row>
        <row r="245">
          <cell r="H245" t="str">
            <v>Ratio of mass to peak</v>
          </cell>
          <cell r="J245">
            <v>0.51388888888888884</v>
          </cell>
          <cell r="K245">
            <v>0.33333333333333331</v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</row>
        <row r="246">
          <cell r="C246">
            <v>0</v>
          </cell>
          <cell r="H246" t="str">
            <v>Torque per wheel to accelerate - unladen, unlimited (kNm)</v>
          </cell>
          <cell r="J246">
            <v>9.5037016000000012</v>
          </cell>
          <cell r="K246">
            <v>3.388252</v>
          </cell>
          <cell r="L246" t="str">
            <v/>
          </cell>
          <cell r="M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</row>
        <row r="247">
          <cell r="C247">
            <v>25</v>
          </cell>
          <cell r="H247" t="str">
            <v>Motor output torque to accelerate -unladen, unlimited (kNm)</v>
          </cell>
          <cell r="J247">
            <v>7.6642754838709679E-2</v>
          </cell>
          <cell r="K247">
            <v>2.6063476923076923E-2</v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</row>
        <row r="248">
          <cell r="C248">
            <v>26</v>
          </cell>
          <cell r="H248" t="str">
            <v>Accelerate duration (s)</v>
          </cell>
          <cell r="J248">
            <v>6.4814814814814818</v>
          </cell>
          <cell r="K248">
            <v>3.9682539682539684</v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</row>
        <row r="249">
          <cell r="C249">
            <v>27</v>
          </cell>
          <cell r="H249" t="str">
            <v>Max motor speed for drive (rpm)</v>
          </cell>
          <cell r="J249">
            <v>2921.3785675821214</v>
          </cell>
          <cell r="K249">
            <v>2912.1863799283151</v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</row>
        <row r="250">
          <cell r="C250">
            <v>28</v>
          </cell>
          <cell r="F250" t="str">
            <v>Acceleration and Braking</v>
          </cell>
          <cell r="H250" t="str">
            <v>Power per wheel to accelerate - 100% speed, unladen, limited (kw)</v>
          </cell>
          <cell r="J250">
            <v>30.234652777777775</v>
          </cell>
          <cell r="K250">
            <v>9.3836601307189547</v>
          </cell>
          <cell r="L250" t="str">
            <v/>
          </cell>
          <cell r="M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</row>
        <row r="251">
          <cell r="G251" t="str">
            <v>100% acc, 100% speed, laden</v>
          </cell>
          <cell r="H251" t="str">
            <v>Torque per wheel to accelerate - laden, unlimited (kNm)</v>
          </cell>
          <cell r="J251">
            <v>9.5037016000000012</v>
          </cell>
          <cell r="K251">
            <v>3.388252</v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</row>
        <row r="252">
          <cell r="C252">
            <v>42</v>
          </cell>
          <cell r="H252" t="str">
            <v>Motor output torque to accelerate - laden, unlimited (kNm)</v>
          </cell>
          <cell r="J252">
            <v>7.6642754838709679E-2</v>
          </cell>
          <cell r="K252">
            <v>2.6063476923076923E-2</v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</row>
        <row r="253">
          <cell r="H253" t="str">
            <v>Torque per wheel to brake - unladen (kNm)</v>
          </cell>
          <cell r="J253">
            <v>4.5172264000000002</v>
          </cell>
          <cell r="K253">
            <v>1.9311879999999997</v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</row>
        <row r="254">
          <cell r="C254">
            <v>29</v>
          </cell>
          <cell r="H254" t="str">
            <v>Motor output torque - unladen (kNm)</v>
          </cell>
          <cell r="J254">
            <v>3.642924516129032E-2</v>
          </cell>
          <cell r="K254">
            <v>1.4855292307692305E-2</v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</row>
        <row r="255">
          <cell r="C255">
            <v>30</v>
          </cell>
          <cell r="H255" t="str">
            <v>Brake duration (s)</v>
          </cell>
          <cell r="J255">
            <v>6.4814814814814818</v>
          </cell>
          <cell r="K255">
            <v>3.9682539682539684</v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</row>
        <row r="256">
          <cell r="C256">
            <v>31</v>
          </cell>
          <cell r="H256" t="str">
            <v>Max motor speed for drive (rpm)</v>
          </cell>
          <cell r="J256">
            <v>2921.3785675821214</v>
          </cell>
          <cell r="K256">
            <v>2912.1863799283151</v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</row>
        <row r="257">
          <cell r="C257">
            <v>32</v>
          </cell>
          <cell r="H257" t="str">
            <v>Power per wheel to brake - 100% speed, unladen (kw)</v>
          </cell>
          <cell r="J257">
            <v>14.370902777777777</v>
          </cell>
          <cell r="K257">
            <v>5.3483660130718942</v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</row>
        <row r="258">
          <cell r="C258">
            <v>0</v>
          </cell>
          <cell r="F258" t="str">
            <v>Constant speed cruising</v>
          </cell>
          <cell r="H258" t="str">
            <v>Power per wheel to accelerate - 100% speed, laden, limited (kw)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</row>
        <row r="259">
          <cell r="C259">
            <v>0</v>
          </cell>
          <cell r="G259" t="str">
            <v>Laden</v>
          </cell>
          <cell r="H259" t="str">
            <v>Torque per wheel to accelerate - laden, limited (kNm)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</row>
        <row r="260">
          <cell r="C260">
            <v>0</v>
          </cell>
          <cell r="H260" t="str">
            <v>Travel distance (half of round trip not including acceleration and braking) (m)</v>
          </cell>
          <cell r="J260">
            <v>70.212094400000012</v>
          </cell>
          <cell r="K260">
            <v>100.41515890196078</v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</row>
        <row r="261">
          <cell r="C261">
            <v>0</v>
          </cell>
          <cell r="H261" t="str">
            <v>Laden mass (kg)</v>
          </cell>
          <cell r="J261">
            <v>72000</v>
          </cell>
          <cell r="K261">
            <v>49000</v>
          </cell>
          <cell r="L261" t="str">
            <v/>
          </cell>
          <cell r="M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</row>
        <row r="262">
          <cell r="C262">
            <v>0</v>
          </cell>
          <cell r="H262" t="str">
            <v>Ratio of mass to peak</v>
          </cell>
          <cell r="J262">
            <v>1</v>
          </cell>
          <cell r="K262">
            <v>1.1666666666666667</v>
          </cell>
          <cell r="L262" t="str">
            <v/>
          </cell>
          <cell r="M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</row>
        <row r="263">
          <cell r="C263">
            <v>0</v>
          </cell>
          <cell r="H263" t="str">
            <v>Torque per wheel to cruise - no grade, laden (kNm)</v>
          </cell>
          <cell r="J263">
            <v>4.851705599999999</v>
          </cell>
          <cell r="K263">
            <v>2.5498620000000001</v>
          </cell>
          <cell r="L263" t="str">
            <v/>
          </cell>
          <cell r="M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</row>
        <row r="264">
          <cell r="C264">
            <v>33</v>
          </cell>
          <cell r="H264" t="str">
            <v>Motor output torque to cruise  - no grade, laden (kNm)</v>
          </cell>
          <cell r="J264">
            <v>3.9126658064516123E-2</v>
          </cell>
          <cell r="K264">
            <v>1.9614323076923075E-2</v>
          </cell>
          <cell r="L264" t="str">
            <v/>
          </cell>
          <cell r="M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</row>
        <row r="265">
          <cell r="C265">
            <v>34</v>
          </cell>
          <cell r="H265" t="str">
            <v>Cruise duration (s)</v>
          </cell>
          <cell r="J265">
            <v>57.804232804232804</v>
          </cell>
          <cell r="K265">
            <v>86.031746031746039</v>
          </cell>
          <cell r="L265" t="str">
            <v/>
          </cell>
          <cell r="M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</row>
        <row r="266">
          <cell r="C266">
            <v>35</v>
          </cell>
          <cell r="G266" t="str">
            <v>100% acc, 100% speed, unladen</v>
          </cell>
          <cell r="H266" t="str">
            <v>Motor speed at rated power (rpm)</v>
          </cell>
          <cell r="J266">
            <v>2921.3785675821214</v>
          </cell>
          <cell r="K266">
            <v>2912.1863799283151</v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</row>
        <row r="267">
          <cell r="C267">
            <v>36</v>
          </cell>
          <cell r="H267" t="str">
            <v>Power per wheel to cruise - 100% speed, no grade, laden, limited (kw)</v>
          </cell>
          <cell r="J267">
            <v>15.434999999999999</v>
          </cell>
          <cell r="K267">
            <v>7.0617647058823536</v>
          </cell>
          <cell r="L267" t="str">
            <v/>
          </cell>
          <cell r="M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</row>
        <row r="268">
          <cell r="C268">
            <v>0</v>
          </cell>
          <cell r="G268" t="str">
            <v>Unladen</v>
          </cell>
          <cell r="H268" t="str">
            <v>Ratio of mass to peak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</row>
        <row r="269">
          <cell r="H269" t="str">
            <v>Travel distance (half of round trip not including acceleration and braking) (m)</v>
          </cell>
          <cell r="J269">
            <v>70.212094400000012</v>
          </cell>
          <cell r="K269">
            <v>100.41515890196078</v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</row>
        <row r="270">
          <cell r="C270">
            <v>0</v>
          </cell>
          <cell r="H270" t="str">
            <v>Unladen mass (kg)</v>
          </cell>
          <cell r="J270">
            <v>37000</v>
          </cell>
          <cell r="K270">
            <v>14000</v>
          </cell>
          <cell r="L270" t="str">
            <v/>
          </cell>
          <cell r="M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</row>
        <row r="271">
          <cell r="C271">
            <v>0</v>
          </cell>
          <cell r="H271" t="str">
            <v>Ratio of mass to peak</v>
          </cell>
          <cell r="J271">
            <v>0.51388888888888884</v>
          </cell>
          <cell r="K271">
            <v>0.33333333333333331</v>
          </cell>
          <cell r="L271" t="str">
            <v/>
          </cell>
          <cell r="M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</row>
        <row r="272">
          <cell r="C272">
            <v>0</v>
          </cell>
          <cell r="H272" t="str">
            <v>Torque per wheel to cruise - no grade, laden (kNm)</v>
          </cell>
          <cell r="J272">
            <v>2.4932375999999992</v>
          </cell>
          <cell r="K272">
            <v>0.72853199999999996</v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</row>
        <row r="273">
          <cell r="C273">
            <v>37</v>
          </cell>
          <cell r="H273" t="str">
            <v>Motor output torque to cruise  - no grade, laden (kNm)</v>
          </cell>
          <cell r="J273">
            <v>2.0106754838709672E-2</v>
          </cell>
          <cell r="K273">
            <v>5.6040923076923072E-3</v>
          </cell>
          <cell r="L273" t="str">
            <v/>
          </cell>
          <cell r="M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</row>
        <row r="274">
          <cell r="C274">
            <v>38</v>
          </cell>
          <cell r="H274" t="str">
            <v>Cruise duration (s)</v>
          </cell>
          <cell r="J274">
            <v>57.804232804232804</v>
          </cell>
          <cell r="K274">
            <v>86.031746031746039</v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</row>
        <row r="275">
          <cell r="C275">
            <v>39</v>
          </cell>
          <cell r="H275" t="str">
            <v>Motor speed at rated power (rpm)</v>
          </cell>
          <cell r="J275">
            <v>2921.3785675821214</v>
          </cell>
          <cell r="K275">
            <v>2912.1863799283151</v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</row>
        <row r="276">
          <cell r="C276">
            <v>40</v>
          </cell>
          <cell r="H276" t="str">
            <v>Power per wheel to cruise - 100% speed, no grade, laden, limited (kw)</v>
          </cell>
          <cell r="J276">
            <v>7.9318749999999989</v>
          </cell>
          <cell r="K276">
            <v>2.0176470588235293</v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</row>
        <row r="277">
          <cell r="C277">
            <v>0</v>
          </cell>
          <cell r="F277" t="str">
            <v>Other</v>
          </cell>
          <cell r="H277" t="str">
            <v>Motor output torque - unladen (kNm)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</row>
        <row r="278">
          <cell r="C278">
            <v>50</v>
          </cell>
          <cell r="G278" t="str">
            <v>Idle time at full utilization (s)</v>
          </cell>
          <cell r="H278" t="str">
            <v>Brake duration (s)</v>
          </cell>
          <cell r="J278">
            <v>65</v>
          </cell>
          <cell r="K278">
            <v>65</v>
          </cell>
          <cell r="L278" t="str">
            <v/>
          </cell>
          <cell r="M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</row>
        <row r="279">
          <cell r="C279">
            <v>0</v>
          </cell>
          <cell r="H279" t="str">
            <v>Max motor speed for drive (rpm)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</row>
        <row r="280">
          <cell r="C280">
            <v>0</v>
          </cell>
          <cell r="E280" t="str">
            <v>Duty Cycle</v>
          </cell>
          <cell r="F280">
            <v>0</v>
          </cell>
          <cell r="G280">
            <v>0</v>
          </cell>
          <cell r="H280" t="str">
            <v>Power per wheel to brake - 100% speed, unladen (kw)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</row>
        <row r="281">
          <cell r="E281">
            <v>0</v>
          </cell>
          <cell r="F281" t="str">
            <v>Key parameters</v>
          </cell>
          <cell r="G281">
            <v>0</v>
          </cell>
        </row>
        <row r="282">
          <cell r="G282" t="str">
            <v>Name</v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</row>
        <row r="283">
          <cell r="G283" t="str">
            <v>Description</v>
          </cell>
          <cell r="H283" t="str">
            <v>Travel distance (half of round trip not including acceleration and braking) (m)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</row>
        <row r="284">
          <cell r="G284" t="str">
            <v>Average distance to travel round trip (m)</v>
          </cell>
          <cell r="H284" t="str">
            <v>Laden mass (kg)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</row>
        <row r="285">
          <cell r="G285" t="str">
            <v>Average distance to lift (m)</v>
          </cell>
          <cell r="H285" t="str">
            <v>Ratio of mass to peak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</row>
        <row r="286">
          <cell r="G286" t="str">
            <v>Average mass of load (kg)</v>
          </cell>
          <cell r="H286" t="str">
            <v>Torque per wheel to cruise - no grade, laden (kNm)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</row>
        <row r="287">
          <cell r="C287">
            <v>0</v>
          </cell>
          <cell r="G287" t="str">
            <v>On grade?</v>
          </cell>
          <cell r="H287" t="str">
            <v>Motor output torque to cruise  - no grade, laden (kNm)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</row>
        <row r="288">
          <cell r="C288">
            <v>0</v>
          </cell>
          <cell r="F288" t="str">
            <v>Lift</v>
          </cell>
          <cell r="G288">
            <v>0</v>
          </cell>
          <cell r="H288" t="str">
            <v>Cruise duration (s)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</row>
        <row r="289">
          <cell r="C289">
            <v>0</v>
          </cell>
          <cell r="G289" t="str">
            <v>Average distance to lift load (m)</v>
          </cell>
          <cell r="H289" t="str">
            <v>Motor speed at rated power (rpm)</v>
          </cell>
          <cell r="J289">
            <v>2.5</v>
          </cell>
          <cell r="K289">
            <v>2.5</v>
          </cell>
          <cell r="L289" t="str">
            <v/>
          </cell>
          <cell r="M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</row>
        <row r="290">
          <cell r="C290">
            <v>0</v>
          </cell>
          <cell r="G290" t="str">
            <v>Laden</v>
          </cell>
          <cell r="H290" t="str">
            <v>Power per wheel to cruise - 100% speed, no grade, laden, limited (kw)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</row>
        <row r="291">
          <cell r="G291" t="str">
            <v>Unladen</v>
          </cell>
          <cell r="H291" t="str">
            <v>Laden lift mass (kg)</v>
          </cell>
          <cell r="J291">
            <v>32000</v>
          </cell>
          <cell r="K291">
            <v>27000</v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</row>
        <row r="292">
          <cell r="H292" t="str">
            <v>Ratio of mass to peak</v>
          </cell>
          <cell r="J292">
            <v>0.76190476190476186</v>
          </cell>
          <cell r="K292">
            <v>0.9</v>
          </cell>
          <cell r="L292" t="str">
            <v/>
          </cell>
          <cell r="M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</row>
        <row r="293">
          <cell r="H293" t="str">
            <v>Torque per winch to lift - laden (kNm)</v>
          </cell>
          <cell r="J293">
            <v>20.736800000000002</v>
          </cell>
          <cell r="K293">
            <v>2.8527187499999993</v>
          </cell>
          <cell r="L293" t="str">
            <v/>
          </cell>
          <cell r="M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</row>
        <row r="294">
          <cell r="C294">
            <v>1</v>
          </cell>
          <cell r="H294" t="str">
            <v>Motor output torque - lift, laden (kNm)</v>
          </cell>
          <cell r="J294">
            <v>6.8105622700998431E-2</v>
          </cell>
          <cell r="K294">
            <v>9.5889705882352926E-3</v>
          </cell>
          <cell r="L294" t="str">
            <v/>
          </cell>
          <cell r="M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</row>
        <row r="295">
          <cell r="C295">
            <v>2</v>
          </cell>
          <cell r="H295" t="str">
            <v>Lift duration (s)</v>
          </cell>
          <cell r="J295">
            <v>35.714285714285708</v>
          </cell>
          <cell r="K295">
            <v>2.9411764705882355</v>
          </cell>
          <cell r="L295" t="str">
            <v/>
          </cell>
          <cell r="M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</row>
        <row r="296">
          <cell r="C296">
            <v>3</v>
          </cell>
          <cell r="H296" t="str">
            <v>Motor speed at rated power (rpm)</v>
          </cell>
          <cell r="J296">
            <v>2011.1648982708025</v>
          </cell>
          <cell r="K296">
            <v>151515.50582348436</v>
          </cell>
          <cell r="L296" t="str">
            <v/>
          </cell>
          <cell r="M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</row>
        <row r="297">
          <cell r="C297">
            <v>4</v>
          </cell>
          <cell r="H297" t="str">
            <v>Power per winch to lift - 100% speed, laden, unlimited (kw)</v>
          </cell>
          <cell r="J297">
            <v>14.343636363636367</v>
          </cell>
          <cell r="K297">
            <v>152.14500000000001</v>
          </cell>
          <cell r="L297" t="str">
            <v/>
          </cell>
          <cell r="M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</row>
        <row r="298">
          <cell r="C298">
            <v>0</v>
          </cell>
          <cell r="H298" t="str">
            <v>Torque per winch to lower - laden (kNm)</v>
          </cell>
          <cell r="J298">
            <v>20.736800000000002</v>
          </cell>
          <cell r="K298">
            <v>2.8527187499999993</v>
          </cell>
          <cell r="L298" t="str">
            <v/>
          </cell>
          <cell r="M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</row>
        <row r="299">
          <cell r="C299">
            <v>5</v>
          </cell>
          <cell r="H299" t="str">
            <v>Motor output torque - lower, laden (kNm)</v>
          </cell>
          <cell r="J299">
            <v>6.8105622700998431E-2</v>
          </cell>
          <cell r="K299">
            <v>6.9280312499999984E-3</v>
          </cell>
          <cell r="L299" t="str">
            <v/>
          </cell>
          <cell r="M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</row>
        <row r="300">
          <cell r="C300">
            <v>6</v>
          </cell>
          <cell r="F300" t="str">
            <v>Other</v>
          </cell>
          <cell r="H300" t="str">
            <v>Lower duration (s)</v>
          </cell>
          <cell r="J300">
            <v>31.25</v>
          </cell>
          <cell r="K300">
            <v>2.9411764705882355</v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</row>
        <row r="301">
          <cell r="C301">
            <v>7</v>
          </cell>
          <cell r="G301" t="str">
            <v>Idle time at full utilization (s)</v>
          </cell>
          <cell r="H301" t="str">
            <v>Motor speed at rated power (rpm)</v>
          </cell>
          <cell r="J301">
            <v>2298.4741694523459</v>
          </cell>
          <cell r="K301">
            <v>151515.50582348436</v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</row>
        <row r="302">
          <cell r="C302">
            <v>8</v>
          </cell>
          <cell r="H302" t="str">
            <v>Power per winch to lower - 100% speed, laden, unlimited (kw)</v>
          </cell>
          <cell r="J302">
            <v>12.694528000000002</v>
          </cell>
          <cell r="K302">
            <v>109.9247625</v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</row>
        <row r="303">
          <cell r="E303" t="str">
            <v>Duty Cycle</v>
          </cell>
          <cell r="G303" t="str">
            <v>Unladen</v>
          </cell>
        </row>
        <row r="304">
          <cell r="F304" t="str">
            <v>Key parameters</v>
          </cell>
          <cell r="H304" t="str">
            <v>Unladen lift mass (kg)</v>
          </cell>
          <cell r="J304">
            <v>7000</v>
          </cell>
          <cell r="K304">
            <v>2000</v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</row>
        <row r="305">
          <cell r="G305" t="str">
            <v>Name</v>
          </cell>
          <cell r="H305" t="str">
            <v>Ratio of mass to peak</v>
          </cell>
          <cell r="J305">
            <v>0.16666666666666666</v>
          </cell>
          <cell r="K305">
            <v>6.6666666666666666E-2</v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T305" t="str">
            <v/>
          </cell>
          <cell r="U305" t="str">
            <v/>
          </cell>
        </row>
        <row r="306">
          <cell r="G306" t="str">
            <v>Description</v>
          </cell>
          <cell r="H306" t="str">
            <v>Torque per winch to lift - laden (kNm)</v>
          </cell>
          <cell r="J306">
            <v>4.5361750000000001</v>
          </cell>
          <cell r="K306">
            <v>0.21131249999999996</v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U306" t="str">
            <v/>
          </cell>
        </row>
        <row r="307">
          <cell r="C307">
            <v>9</v>
          </cell>
          <cell r="G307" t="str">
            <v>Average distance to travel round trip (m)</v>
          </cell>
          <cell r="H307" t="str">
            <v>Motor output torque - lift, laden (kNm)</v>
          </cell>
          <cell r="J307">
            <v>1.4898104965843408E-2</v>
          </cell>
          <cell r="K307">
            <v>7.1029411764705875E-4</v>
          </cell>
          <cell r="L307" t="str">
            <v/>
          </cell>
          <cell r="M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  <cell r="T307" t="str">
            <v/>
          </cell>
          <cell r="U307" t="str">
            <v/>
          </cell>
        </row>
        <row r="308">
          <cell r="C308">
            <v>10</v>
          </cell>
          <cell r="G308" t="str">
            <v>Average distance to lift (m)</v>
          </cell>
          <cell r="H308" t="str">
            <v>Lift duration (s)</v>
          </cell>
          <cell r="J308">
            <v>35.714285714285708</v>
          </cell>
          <cell r="K308">
            <v>2.9411764705882355</v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  <cell r="T308" t="str">
            <v/>
          </cell>
          <cell r="U308" t="str">
            <v/>
          </cell>
        </row>
        <row r="309">
          <cell r="C309">
            <v>11</v>
          </cell>
          <cell r="G309" t="str">
            <v>Average mass of load (kg)</v>
          </cell>
          <cell r="H309" t="str">
            <v>Motor speed at rated power (rpm)</v>
          </cell>
          <cell r="J309">
            <v>2011.1648982708025</v>
          </cell>
          <cell r="K309">
            <v>151515.50582348436</v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  <cell r="T309" t="str">
            <v/>
          </cell>
          <cell r="U309" t="str">
            <v/>
          </cell>
        </row>
        <row r="310">
          <cell r="C310">
            <v>12</v>
          </cell>
          <cell r="G310" t="str">
            <v>On grade?</v>
          </cell>
          <cell r="H310" t="str">
            <v>Power per winch to lift - 100% speed, laden, unlimited (kw)</v>
          </cell>
          <cell r="J310">
            <v>3.1376704545454555</v>
          </cell>
          <cell r="K310">
            <v>11.270000000000001</v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  <cell r="T310" t="str">
            <v/>
          </cell>
          <cell r="U310" t="str">
            <v/>
          </cell>
        </row>
        <row r="311">
          <cell r="F311" t="str">
            <v>Lift</v>
          </cell>
          <cell r="H311" t="str">
            <v>Torque per winch to lift - laden (kNm)</v>
          </cell>
          <cell r="J311">
            <v>4.5361750000000001</v>
          </cell>
          <cell r="K311">
            <v>0.21131249999999996</v>
          </cell>
          <cell r="L311" t="str">
            <v/>
          </cell>
          <cell r="M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  <cell r="T311" t="str">
            <v/>
          </cell>
          <cell r="U311" t="str">
            <v/>
          </cell>
        </row>
        <row r="312">
          <cell r="C312">
            <v>13</v>
          </cell>
          <cell r="G312" t="str">
            <v>Average distance to lift load (m)</v>
          </cell>
          <cell r="H312" t="str">
            <v>Motor output torque - lower, laden (kNm)</v>
          </cell>
          <cell r="J312">
            <v>1.4898104965843408E-2</v>
          </cell>
          <cell r="K312">
            <v>5.1318749999999986E-4</v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  <cell r="T312" t="str">
            <v/>
          </cell>
          <cell r="U312" t="str">
            <v/>
          </cell>
        </row>
        <row r="313">
          <cell r="C313">
            <v>14</v>
          </cell>
          <cell r="G313" t="str">
            <v>Laden</v>
          </cell>
          <cell r="H313" t="str">
            <v>Lower duration (s)</v>
          </cell>
          <cell r="J313">
            <v>31.25</v>
          </cell>
          <cell r="K313">
            <v>2.9411764705882355</v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  <cell r="T313" t="str">
            <v/>
          </cell>
          <cell r="U313" t="str">
            <v/>
          </cell>
        </row>
        <row r="314">
          <cell r="C314">
            <v>15</v>
          </cell>
          <cell r="H314" t="str">
            <v>Motor speed at rated power (rpm)</v>
          </cell>
          <cell r="J314">
            <v>2298.4741694523459</v>
          </cell>
          <cell r="K314">
            <v>151515.50582348436</v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  <cell r="T314" t="str">
            <v/>
          </cell>
          <cell r="U314" t="str">
            <v/>
          </cell>
        </row>
        <row r="315">
          <cell r="C315">
            <v>16</v>
          </cell>
          <cell r="H315" t="str">
            <v>Power per winch to lower - 100% speed, laden, unlimited (kw)</v>
          </cell>
          <cell r="J315">
            <v>2.7769280000000003</v>
          </cell>
          <cell r="K315">
            <v>8.142574999999999</v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T315" t="str">
            <v/>
          </cell>
          <cell r="U315" t="str">
            <v/>
          </cell>
        </row>
        <row r="316">
          <cell r="C316">
            <v>0</v>
          </cell>
          <cell r="F316" t="str">
            <v>Acceleration and Braking</v>
          </cell>
          <cell r="H316" t="str">
            <v>Torque per winch to lift - laden (kNm)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</row>
        <row r="317">
          <cell r="C317">
            <v>0</v>
          </cell>
          <cell r="G317" t="str">
            <v>100% acc, 100% speed, laden</v>
          </cell>
          <cell r="H317" t="str">
            <v>Motor output torque - lift, laden (kNm)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</row>
        <row r="318">
          <cell r="C318">
            <v>0</v>
          </cell>
          <cell r="H318" t="str">
            <v>Laden mass (kg)</v>
          </cell>
          <cell r="J318">
            <v>62000</v>
          </cell>
          <cell r="K318">
            <v>39000</v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  <cell r="T318" t="str">
            <v/>
          </cell>
          <cell r="U318" t="str">
            <v/>
          </cell>
        </row>
        <row r="319">
          <cell r="C319">
            <v>0</v>
          </cell>
          <cell r="H319" t="str">
            <v>Ratio of mass to peak</v>
          </cell>
          <cell r="J319">
            <v>0.86111111111111116</v>
          </cell>
          <cell r="K319">
            <v>0.9285714285714286</v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  <cell r="T319" t="str">
            <v/>
          </cell>
          <cell r="U319" t="str">
            <v/>
          </cell>
        </row>
        <row r="320">
          <cell r="C320">
            <v>0</v>
          </cell>
          <cell r="H320" t="str">
            <v>Torque per wheel to accelerate - laden, unlimited (kNm)</v>
          </cell>
          <cell r="J320">
            <v>11.283057600000001</v>
          </cell>
          <cell r="K320">
            <v>6.0562319999999996</v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U320" t="str">
            <v/>
          </cell>
        </row>
        <row r="321">
          <cell r="C321">
            <v>17</v>
          </cell>
          <cell r="H321" t="str">
            <v>Motor output torque to accelerate - laden, unlimited (kNm)</v>
          </cell>
          <cell r="J321">
            <v>9.0992400000000001E-2</v>
          </cell>
          <cell r="K321">
            <v>4.6586399999999993E-2</v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U321" t="str">
            <v/>
          </cell>
        </row>
        <row r="322">
          <cell r="C322">
            <v>18</v>
          </cell>
          <cell r="H322" t="str">
            <v>Accelerate duration (s)</v>
          </cell>
          <cell r="J322">
            <v>6.4814814814814818</v>
          </cell>
          <cell r="K322">
            <v>3.9682539682539684</v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U322" t="str">
            <v/>
          </cell>
        </row>
        <row r="323">
          <cell r="C323">
            <v>19</v>
          </cell>
          <cell r="H323" t="str">
            <v>Max motor speed for drive (rpm)</v>
          </cell>
          <cell r="J323">
            <v>2921.3785675821214</v>
          </cell>
          <cell r="K323">
            <v>2912.1863799283151</v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U323" t="str">
            <v/>
          </cell>
        </row>
        <row r="324">
          <cell r="C324">
            <v>20</v>
          </cell>
          <cell r="H324" t="str">
            <v>Power per wheel to accelerate - 100% speed, laden, limited (kw)</v>
          </cell>
          <cell r="J324">
            <v>35.895416666666662</v>
          </cell>
          <cell r="K324">
            <v>15</v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U324" t="str">
            <v/>
          </cell>
        </row>
        <row r="325">
          <cell r="C325">
            <v>0</v>
          </cell>
          <cell r="H325" t="str">
            <v>Torque per wheel to accelerate - laden, limited (kNm)</v>
          </cell>
          <cell r="J325">
            <v>11.283057600000001</v>
          </cell>
          <cell r="K325">
            <v>5.4161999999999999</v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U325" t="str">
            <v/>
          </cell>
        </row>
        <row r="326">
          <cell r="C326">
            <v>41</v>
          </cell>
          <cell r="G326" t="str">
            <v>Unladen</v>
          </cell>
          <cell r="H326" t="str">
            <v>Motor output torque to accelerate - laden, limited (kNm)</v>
          </cell>
          <cell r="J326">
            <v>9.0992400000000001E-2</v>
          </cell>
          <cell r="K326">
            <v>4.1663076923076921E-2</v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  <cell r="T326" t="str">
            <v/>
          </cell>
          <cell r="U326" t="str">
            <v/>
          </cell>
        </row>
        <row r="327">
          <cell r="H327" t="str">
            <v>Torque per wheel to brake - laden (kNm)</v>
          </cell>
          <cell r="J327">
            <v>2.927342400000001</v>
          </cell>
          <cell r="K327">
            <v>1.9972679999999994</v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  <cell r="T327" t="str">
            <v/>
          </cell>
          <cell r="U327" t="str">
            <v/>
          </cell>
        </row>
        <row r="328">
          <cell r="C328">
            <v>21</v>
          </cell>
          <cell r="H328" t="str">
            <v>Motor output torque - laden (kNm)</v>
          </cell>
          <cell r="J328">
            <v>2.360760000000001E-2</v>
          </cell>
          <cell r="K328">
            <v>1.5363599999999995E-2</v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  <cell r="T328" t="str">
            <v/>
          </cell>
          <cell r="U328" t="str">
            <v/>
          </cell>
        </row>
        <row r="329">
          <cell r="C329">
            <v>22</v>
          </cell>
          <cell r="H329" t="str">
            <v>Brake duration (s)</v>
          </cell>
          <cell r="J329">
            <v>6.4814814814814818</v>
          </cell>
          <cell r="K329">
            <v>3.9682539682539684</v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  <cell r="T329" t="str">
            <v/>
          </cell>
          <cell r="U329" t="str">
            <v/>
          </cell>
        </row>
        <row r="330">
          <cell r="C330">
            <v>23</v>
          </cell>
          <cell r="H330" t="str">
            <v>Max motor speed for drive (rpm)</v>
          </cell>
          <cell r="J330">
            <v>2921.3785675821214</v>
          </cell>
          <cell r="K330">
            <v>2912.1863799283151</v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  <cell r="T330" t="str">
            <v/>
          </cell>
          <cell r="U330" t="str">
            <v/>
          </cell>
        </row>
        <row r="331">
          <cell r="C331">
            <v>24</v>
          </cell>
          <cell r="H331" t="str">
            <v>Power per wheel to brake - 100% speed, laden (kw)</v>
          </cell>
          <cell r="J331">
            <v>9.3129166666666698</v>
          </cell>
          <cell r="K331">
            <v>5.531372549019606</v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  <cell r="T331" t="str">
            <v/>
          </cell>
          <cell r="U331" t="str">
            <v/>
          </cell>
        </row>
        <row r="332">
          <cell r="C332">
            <v>0</v>
          </cell>
          <cell r="G332" t="str">
            <v>100% acc, 100% speed, unladen</v>
          </cell>
          <cell r="H332" t="str">
            <v>Motor speed at rated power (rpm)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</row>
        <row r="333">
          <cell r="C333">
            <v>0</v>
          </cell>
          <cell r="H333" t="str">
            <v>Unladen mass (kg)</v>
          </cell>
          <cell r="J333">
            <v>37000</v>
          </cell>
          <cell r="K333">
            <v>14000</v>
          </cell>
          <cell r="L333" t="str">
            <v/>
          </cell>
          <cell r="M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  <cell r="T333" t="str">
            <v/>
          </cell>
          <cell r="U333" t="str">
            <v/>
          </cell>
        </row>
        <row r="334">
          <cell r="H334" t="str">
            <v>Ratio of mass to peak</v>
          </cell>
          <cell r="J334">
            <v>0.51388888888888884</v>
          </cell>
          <cell r="K334">
            <v>0.33333333333333331</v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  <cell r="T334" t="str">
            <v/>
          </cell>
          <cell r="U334" t="str">
            <v/>
          </cell>
        </row>
        <row r="335">
          <cell r="C335">
            <v>0</v>
          </cell>
          <cell r="H335" t="str">
            <v>Torque per wheel to accelerate - unladen, unlimited (kNm)</v>
          </cell>
          <cell r="J335">
            <v>6.7334375999999994</v>
          </cell>
          <cell r="K335">
            <v>2.1740319999999995</v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  <cell r="T335" t="str">
            <v/>
          </cell>
          <cell r="U335" t="str">
            <v/>
          </cell>
        </row>
        <row r="336">
          <cell r="C336">
            <v>25</v>
          </cell>
          <cell r="H336" t="str">
            <v>Motor output torque to accelerate -unladen, unlimited (kNm)</v>
          </cell>
          <cell r="J336">
            <v>5.4301916129032249E-2</v>
          </cell>
          <cell r="K336">
            <v>1.6723323076923074E-2</v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  <cell r="T336" t="str">
            <v/>
          </cell>
          <cell r="U336" t="str">
            <v/>
          </cell>
        </row>
        <row r="337">
          <cell r="C337">
            <v>26</v>
          </cell>
          <cell r="H337" t="str">
            <v>Accelerate duration (s)</v>
          </cell>
          <cell r="J337">
            <v>6.4814814814814818</v>
          </cell>
          <cell r="K337">
            <v>3.9682539682539684</v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  <cell r="T337" t="str">
            <v/>
          </cell>
          <cell r="U337" t="str">
            <v/>
          </cell>
        </row>
        <row r="338">
          <cell r="C338">
            <v>27</v>
          </cell>
          <cell r="H338" t="str">
            <v>Max motor speed for drive (rpm)</v>
          </cell>
          <cell r="J338">
            <v>2921.3785675821214</v>
          </cell>
          <cell r="K338">
            <v>2912.1863799283151</v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  <cell r="T338" t="str">
            <v/>
          </cell>
          <cell r="U338" t="str">
            <v/>
          </cell>
        </row>
        <row r="339">
          <cell r="C339">
            <v>28</v>
          </cell>
          <cell r="F339" t="str">
            <v>Acceleration and Braking</v>
          </cell>
          <cell r="H339" t="str">
            <v>Power per wheel to accelerate - 100% speed, unladen, limited (kw)</v>
          </cell>
          <cell r="J339">
            <v>21.42145833333333</v>
          </cell>
          <cell r="K339">
            <v>6.0209150326797385</v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T339" t="str">
            <v/>
          </cell>
          <cell r="U339" t="str">
            <v/>
          </cell>
        </row>
        <row r="340">
          <cell r="G340" t="str">
            <v>100% acc, 100% speed, laden</v>
          </cell>
          <cell r="H340" t="str">
            <v>Torque per wheel to accelerate - laden, unlimited (kNm)</v>
          </cell>
          <cell r="J340">
            <v>6.7334375999999994</v>
          </cell>
          <cell r="K340">
            <v>2.1740319999999995</v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  <cell r="T340" t="str">
            <v/>
          </cell>
          <cell r="U340" t="str">
            <v/>
          </cell>
        </row>
        <row r="341">
          <cell r="C341">
            <v>42</v>
          </cell>
          <cell r="H341" t="str">
            <v>Motor output torque to accelerate - laden, unlimited (kNm)</v>
          </cell>
          <cell r="J341">
            <v>5.4301916129032249E-2</v>
          </cell>
          <cell r="K341">
            <v>1.6723323076923074E-2</v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  <cell r="T341" t="str">
            <v/>
          </cell>
          <cell r="U341" t="str">
            <v/>
          </cell>
        </row>
        <row r="342">
          <cell r="H342" t="str">
            <v>Torque per wheel to brake - unladen (kNm)</v>
          </cell>
          <cell r="J342">
            <v>1.7469624000000004</v>
          </cell>
          <cell r="K342">
            <v>0.71696799999999972</v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  <cell r="T342" t="str">
            <v/>
          </cell>
          <cell r="U342" t="str">
            <v/>
          </cell>
        </row>
        <row r="343">
          <cell r="C343">
            <v>29</v>
          </cell>
          <cell r="H343" t="str">
            <v>Motor output torque - unladen (kNm)</v>
          </cell>
          <cell r="J343">
            <v>1.4088406451612906E-2</v>
          </cell>
          <cell r="K343">
            <v>5.5151384615384595E-3</v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  <cell r="T343" t="str">
            <v/>
          </cell>
          <cell r="U343" t="str">
            <v/>
          </cell>
        </row>
        <row r="344">
          <cell r="C344">
            <v>30</v>
          </cell>
          <cell r="H344" t="str">
            <v>Brake duration (s)</v>
          </cell>
          <cell r="J344">
            <v>6.4814814814814818</v>
          </cell>
          <cell r="K344">
            <v>3.9682539682539684</v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  <cell r="T344" t="str">
            <v/>
          </cell>
          <cell r="U344" t="str">
            <v/>
          </cell>
        </row>
        <row r="345">
          <cell r="C345">
            <v>31</v>
          </cell>
          <cell r="H345" t="str">
            <v>Max motor speed for drive (rpm)</v>
          </cell>
          <cell r="J345">
            <v>2921.3785675821214</v>
          </cell>
          <cell r="K345">
            <v>2912.1863799283151</v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  <cell r="T345" t="str">
            <v/>
          </cell>
          <cell r="U345" t="str">
            <v/>
          </cell>
        </row>
        <row r="346">
          <cell r="C346">
            <v>32</v>
          </cell>
          <cell r="H346" t="str">
            <v>Power per wheel to brake - 100% speed, unladen (kw)</v>
          </cell>
          <cell r="J346">
            <v>5.5577083333333341</v>
          </cell>
          <cell r="K346">
            <v>1.9856209150326789</v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  <cell r="T346" t="str">
            <v/>
          </cell>
          <cell r="U346" t="str">
            <v/>
          </cell>
        </row>
        <row r="347">
          <cell r="C347">
            <v>0</v>
          </cell>
          <cell r="F347" t="str">
            <v>Constant speed cruising</v>
          </cell>
          <cell r="H347" t="str">
            <v>Power per wheel to accelerate - 100% speed, laden, limited (kw)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</row>
        <row r="348">
          <cell r="C348">
            <v>0</v>
          </cell>
          <cell r="G348" t="str">
            <v>Laden</v>
          </cell>
          <cell r="H348" t="str">
            <v>Torque per wheel to accelerate - laden, limited (kNm)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</row>
        <row r="349">
          <cell r="C349">
            <v>0</v>
          </cell>
          <cell r="H349" t="str">
            <v>Travel distance (half of round trip not including acceleration and braking) (m)</v>
          </cell>
          <cell r="J349">
            <v>70.212094400000012</v>
          </cell>
          <cell r="K349">
            <v>100.41515890196078</v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  <cell r="T349" t="str">
            <v/>
          </cell>
          <cell r="U349" t="str">
            <v/>
          </cell>
        </row>
        <row r="350">
          <cell r="C350">
            <v>0</v>
          </cell>
          <cell r="H350" t="str">
            <v>Laden mass (kg)</v>
          </cell>
          <cell r="J350">
            <v>62000</v>
          </cell>
          <cell r="K350">
            <v>39000</v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  <cell r="T350" t="str">
            <v/>
          </cell>
          <cell r="U350" t="str">
            <v/>
          </cell>
        </row>
        <row r="351">
          <cell r="C351">
            <v>0</v>
          </cell>
          <cell r="H351" t="str">
            <v>Ratio of mass to peak</v>
          </cell>
          <cell r="J351">
            <v>0.86111111111111116</v>
          </cell>
          <cell r="K351">
            <v>0.9285714285714286</v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  <cell r="T351" t="str">
            <v/>
          </cell>
          <cell r="U351" t="str">
            <v/>
          </cell>
        </row>
        <row r="352">
          <cell r="C352">
            <v>0</v>
          </cell>
          <cell r="H352" t="str">
            <v>Torque per wheel to cruise - no grade, laden (kNm)</v>
          </cell>
          <cell r="J352">
            <v>4.1778575999999994</v>
          </cell>
          <cell r="K352">
            <v>2.0294819999999998</v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  <cell r="T352" t="str">
            <v/>
          </cell>
          <cell r="U352" t="str">
            <v/>
          </cell>
        </row>
        <row r="353">
          <cell r="C353">
            <v>33</v>
          </cell>
          <cell r="H353" t="str">
            <v>Motor output torque to cruise  - no grade, laden (kNm)</v>
          </cell>
          <cell r="J353">
            <v>3.3692399999999997E-2</v>
          </cell>
          <cell r="K353">
            <v>1.5611399999999999E-2</v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  <cell r="T353" t="str">
            <v/>
          </cell>
          <cell r="U353" t="str">
            <v/>
          </cell>
        </row>
        <row r="354">
          <cell r="C354">
            <v>34</v>
          </cell>
          <cell r="H354" t="str">
            <v>Cruise duration (s)</v>
          </cell>
          <cell r="J354">
            <v>57.804232804232804</v>
          </cell>
          <cell r="K354">
            <v>86.031746031746039</v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  <cell r="T354" t="str">
            <v/>
          </cell>
          <cell r="U354" t="str">
            <v/>
          </cell>
        </row>
        <row r="355">
          <cell r="C355">
            <v>35</v>
          </cell>
          <cell r="G355" t="str">
            <v>100% acc, 100% speed, unladen</v>
          </cell>
          <cell r="H355" t="str">
            <v>Motor speed at rated power (rpm)</v>
          </cell>
          <cell r="J355">
            <v>2921.3785675821214</v>
          </cell>
          <cell r="K355">
            <v>2912.1863799283151</v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T355" t="str">
            <v/>
          </cell>
          <cell r="U355" t="str">
            <v/>
          </cell>
        </row>
        <row r="356">
          <cell r="C356">
            <v>36</v>
          </cell>
          <cell r="H356" t="str">
            <v>Power per wheel to cruise - 100% speed, no grade, laden, limited (kw)</v>
          </cell>
          <cell r="J356">
            <v>13.29125</v>
          </cell>
          <cell r="K356">
            <v>5.6205882352941181</v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  <cell r="T356" t="str">
            <v/>
          </cell>
          <cell r="U356" t="str">
            <v/>
          </cell>
        </row>
        <row r="357">
          <cell r="C357">
            <v>0</v>
          </cell>
          <cell r="G357" t="str">
            <v>Unladen</v>
          </cell>
          <cell r="H357" t="str">
            <v>Ratio of mass to peak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</row>
        <row r="358">
          <cell r="H358" t="str">
            <v>Travel distance (half of round trip not including acceleration and braking) (m)</v>
          </cell>
          <cell r="J358">
            <v>70.212094400000012</v>
          </cell>
          <cell r="K358">
            <v>100.41515890196078</v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  <cell r="T358" t="str">
            <v/>
          </cell>
          <cell r="U358" t="str">
            <v/>
          </cell>
        </row>
        <row r="359">
          <cell r="C359">
            <v>0</v>
          </cell>
          <cell r="H359" t="str">
            <v>Unladen mass (kg)</v>
          </cell>
          <cell r="J359">
            <v>37000</v>
          </cell>
          <cell r="K359">
            <v>14000</v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  <cell r="T359" t="str">
            <v/>
          </cell>
          <cell r="U359" t="str">
            <v/>
          </cell>
        </row>
        <row r="360">
          <cell r="C360">
            <v>0</v>
          </cell>
          <cell r="H360" t="str">
            <v>Ratio of mass to peak</v>
          </cell>
          <cell r="J360">
            <v>0.51388888888888884</v>
          </cell>
          <cell r="K360">
            <v>0.33333333333333331</v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  <cell r="T360" t="str">
            <v/>
          </cell>
          <cell r="U360" t="str">
            <v/>
          </cell>
        </row>
        <row r="361">
          <cell r="C361">
            <v>0</v>
          </cell>
          <cell r="H361" t="str">
            <v>Torque per wheel to cruise - no grade, laden (kNm)</v>
          </cell>
          <cell r="J361">
            <v>2.4932375999999992</v>
          </cell>
          <cell r="K361">
            <v>0.72853199999999996</v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  <cell r="T361" t="str">
            <v/>
          </cell>
          <cell r="U361" t="str">
            <v/>
          </cell>
        </row>
        <row r="362">
          <cell r="C362">
            <v>37</v>
          </cell>
          <cell r="H362" t="str">
            <v>Motor output torque to cruise  - no grade, laden (kNm)</v>
          </cell>
          <cell r="J362">
            <v>2.0106754838709672E-2</v>
          </cell>
          <cell r="K362">
            <v>5.6040923076923072E-3</v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  <cell r="T362" t="str">
            <v/>
          </cell>
          <cell r="U362" t="str">
            <v/>
          </cell>
        </row>
        <row r="363">
          <cell r="C363">
            <v>38</v>
          </cell>
          <cell r="H363" t="str">
            <v>Cruise duration (s)</v>
          </cell>
          <cell r="J363">
            <v>57.804232804232804</v>
          </cell>
          <cell r="K363">
            <v>86.031746031746039</v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  <cell r="T363" t="str">
            <v/>
          </cell>
          <cell r="U363" t="str">
            <v/>
          </cell>
        </row>
        <row r="364">
          <cell r="C364">
            <v>39</v>
          </cell>
          <cell r="H364" t="str">
            <v>Motor speed at rated power (rpm)</v>
          </cell>
          <cell r="J364">
            <v>2921.3785675821214</v>
          </cell>
          <cell r="K364">
            <v>2912.1863799283151</v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  <cell r="T364" t="str">
            <v/>
          </cell>
          <cell r="U364" t="str">
            <v/>
          </cell>
        </row>
        <row r="365">
          <cell r="C365">
            <v>40</v>
          </cell>
          <cell r="H365" t="str">
            <v>Power per wheel to cruise - 100% speed, no grade, laden, limited (kw)</v>
          </cell>
          <cell r="J365">
            <v>7.9318749999999989</v>
          </cell>
          <cell r="K365">
            <v>2.0176470588235293</v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  <cell r="T365" t="str">
            <v/>
          </cell>
          <cell r="U365" t="str">
            <v/>
          </cell>
        </row>
        <row r="366">
          <cell r="C366">
            <v>0</v>
          </cell>
          <cell r="F366" t="str">
            <v>Other</v>
          </cell>
          <cell r="H366" t="str">
            <v>Motor output torque - unladen (kNm)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</row>
        <row r="367">
          <cell r="C367">
            <v>50</v>
          </cell>
          <cell r="G367" t="str">
            <v>Idle time at full utilization (s)</v>
          </cell>
          <cell r="H367" t="str">
            <v>Brake duration (s)</v>
          </cell>
          <cell r="J367">
            <v>65</v>
          </cell>
          <cell r="K367">
            <v>65</v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  <cell r="T367" t="str">
            <v/>
          </cell>
          <cell r="U367" t="str">
            <v/>
          </cell>
        </row>
        <row r="368">
          <cell r="C368">
            <v>0</v>
          </cell>
          <cell r="H368" t="str">
            <v>Max motor speed for drive (rpm)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</row>
        <row r="369">
          <cell r="C369">
            <v>0</v>
          </cell>
          <cell r="E369" t="str">
            <v>Duty Cycle</v>
          </cell>
          <cell r="F369">
            <v>0</v>
          </cell>
          <cell r="G369">
            <v>0</v>
          </cell>
          <cell r="H369" t="str">
            <v>Power per wheel to brake - 100% speed, unladen (kw)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</row>
        <row r="370">
          <cell r="E370">
            <v>0</v>
          </cell>
          <cell r="F370" t="str">
            <v>Key parameters</v>
          </cell>
          <cell r="G370">
            <v>0</v>
          </cell>
        </row>
        <row r="371">
          <cell r="G371" t="str">
            <v>Name</v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  <cell r="T371" t="str">
            <v/>
          </cell>
          <cell r="U371" t="str">
            <v/>
          </cell>
        </row>
        <row r="372">
          <cell r="G372" t="str">
            <v>Description</v>
          </cell>
          <cell r="H372" t="str">
            <v>Travel distance (half of round trip not including acceleration and braking) (m)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</row>
        <row r="373">
          <cell r="G373" t="str">
            <v>Average distance to travel round trip (m)</v>
          </cell>
          <cell r="H373" t="str">
            <v>Laden mass (kg)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</row>
        <row r="374">
          <cell r="G374" t="str">
            <v>Average distance to lift (m)</v>
          </cell>
          <cell r="H374" t="str">
            <v>Ratio of mass to peak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</row>
        <row r="375">
          <cell r="G375" t="str">
            <v>Average mass of load (kg)</v>
          </cell>
          <cell r="H375" t="str">
            <v>Torque per wheel to cruise - no grade, laden (kNm)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</row>
        <row r="376">
          <cell r="C376">
            <v>0</v>
          </cell>
          <cell r="G376" t="str">
            <v>On grade?</v>
          </cell>
          <cell r="H376" t="str">
            <v>Motor output torque to cruise  - no grade, laden (kNm)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</row>
        <row r="377">
          <cell r="C377">
            <v>0</v>
          </cell>
          <cell r="F377" t="str">
            <v>Lift</v>
          </cell>
          <cell r="G377">
            <v>0</v>
          </cell>
          <cell r="H377" t="str">
            <v>Cruise duration (s)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</row>
        <row r="378">
          <cell r="C378">
            <v>0</v>
          </cell>
          <cell r="G378" t="str">
            <v>Average distance to lift load (m)</v>
          </cell>
          <cell r="H378" t="str">
            <v>Motor speed at rated power (rpm)</v>
          </cell>
          <cell r="J378">
            <v>6</v>
          </cell>
          <cell r="K378">
            <v>3</v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  <cell r="T378" t="str">
            <v/>
          </cell>
          <cell r="U378" t="str">
            <v/>
          </cell>
        </row>
        <row r="379">
          <cell r="C379">
            <v>0</v>
          </cell>
          <cell r="G379" t="str">
            <v>Laden</v>
          </cell>
          <cell r="H379" t="str">
            <v>Power per wheel to cruise - 100% speed, no grade, laden, limited (kw)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</row>
        <row r="380">
          <cell r="G380" t="str">
            <v>Unladen</v>
          </cell>
          <cell r="H380" t="str">
            <v>Laden lift mass (kg)</v>
          </cell>
          <cell r="J380">
            <v>42000</v>
          </cell>
          <cell r="K380">
            <v>37000</v>
          </cell>
          <cell r="L380" t="str">
            <v/>
          </cell>
          <cell r="M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  <cell r="T380" t="str">
            <v/>
          </cell>
          <cell r="U380" t="str">
            <v/>
          </cell>
        </row>
        <row r="381">
          <cell r="H381" t="str">
            <v>Ratio of mass to peak</v>
          </cell>
          <cell r="J381">
            <v>1</v>
          </cell>
          <cell r="K381">
            <v>1.2333333333333334</v>
          </cell>
          <cell r="L381" t="str">
            <v/>
          </cell>
          <cell r="M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  <cell r="T381" t="str">
            <v/>
          </cell>
          <cell r="U381" t="str">
            <v/>
          </cell>
        </row>
        <row r="382">
          <cell r="H382" t="str">
            <v>Torque per winch to lift - laden (kNm)</v>
          </cell>
          <cell r="J382">
            <v>27.217050000000004</v>
          </cell>
          <cell r="K382">
            <v>3.9092812499999994</v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  <cell r="T382" t="str">
            <v/>
          </cell>
          <cell r="U382" t="str">
            <v/>
          </cell>
        </row>
        <row r="383">
          <cell r="C383">
            <v>1</v>
          </cell>
          <cell r="H383" t="str">
            <v>Motor output torque - lift, laden (kNm)</v>
          </cell>
          <cell r="J383">
            <v>8.9388629795060445E-2</v>
          </cell>
          <cell r="K383">
            <v>1.3140441176470587E-2</v>
          </cell>
          <cell r="L383" t="str">
            <v/>
          </cell>
          <cell r="M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  <cell r="T383" t="str">
            <v/>
          </cell>
          <cell r="U383" t="str">
            <v/>
          </cell>
        </row>
        <row r="384">
          <cell r="C384">
            <v>2</v>
          </cell>
          <cell r="H384" t="str">
            <v>Lift duration (s)</v>
          </cell>
          <cell r="J384">
            <v>85.714285714285708</v>
          </cell>
          <cell r="K384">
            <v>3.5294117647058822</v>
          </cell>
          <cell r="L384" t="str">
            <v/>
          </cell>
          <cell r="M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  <cell r="T384" t="str">
            <v/>
          </cell>
          <cell r="U384" t="str">
            <v/>
          </cell>
        </row>
        <row r="385">
          <cell r="C385">
            <v>3</v>
          </cell>
          <cell r="H385" t="str">
            <v>Motor speed at rated power (rpm)</v>
          </cell>
          <cell r="J385">
            <v>2011.1648982708025</v>
          </cell>
          <cell r="K385">
            <v>151515.50582348436</v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  <cell r="T385" t="str">
            <v/>
          </cell>
          <cell r="U385" t="str">
            <v/>
          </cell>
        </row>
        <row r="386">
          <cell r="C386">
            <v>4</v>
          </cell>
          <cell r="H386" t="str">
            <v>Power per winch to lift - 100% speed, laden, unlimited (kw)</v>
          </cell>
          <cell r="J386">
            <v>18.826022727272733</v>
          </cell>
          <cell r="K386">
            <v>208.49500000000003</v>
          </cell>
          <cell r="L386" t="str">
            <v/>
          </cell>
          <cell r="M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  <cell r="T386" t="str">
            <v/>
          </cell>
          <cell r="U386" t="str">
            <v/>
          </cell>
        </row>
        <row r="387">
          <cell r="C387">
            <v>0</v>
          </cell>
          <cell r="H387" t="str">
            <v>Torque per winch to lower - laden (kNm)</v>
          </cell>
          <cell r="J387">
            <v>27.217050000000004</v>
          </cell>
          <cell r="K387">
            <v>3.9092812499999994</v>
          </cell>
          <cell r="L387" t="str">
            <v/>
          </cell>
          <cell r="M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  <cell r="T387" t="str">
            <v/>
          </cell>
          <cell r="U387" t="str">
            <v/>
          </cell>
        </row>
        <row r="388">
          <cell r="C388">
            <v>5</v>
          </cell>
          <cell r="H388" t="str">
            <v>Motor output torque - lower, laden (kNm)</v>
          </cell>
          <cell r="J388">
            <v>8.9388629795060445E-2</v>
          </cell>
          <cell r="K388">
            <v>9.4939687499999981E-3</v>
          </cell>
          <cell r="L388" t="str">
            <v/>
          </cell>
          <cell r="M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  <cell r="T388" t="str">
            <v/>
          </cell>
          <cell r="U388" t="str">
            <v/>
          </cell>
        </row>
        <row r="389">
          <cell r="C389">
            <v>6</v>
          </cell>
          <cell r="F389" t="str">
            <v>Other</v>
          </cell>
          <cell r="H389" t="str">
            <v>Lower duration (s)</v>
          </cell>
          <cell r="J389">
            <v>75</v>
          </cell>
          <cell r="K389">
            <v>3.5294117647058822</v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  <cell r="T389" t="str">
            <v/>
          </cell>
          <cell r="U389" t="str">
            <v/>
          </cell>
        </row>
        <row r="390">
          <cell r="C390">
            <v>7</v>
          </cell>
          <cell r="G390" t="str">
            <v>Idle time at full utilization (s)</v>
          </cell>
          <cell r="H390" t="str">
            <v>Motor speed at rated power (rpm)</v>
          </cell>
          <cell r="J390">
            <v>2298.4741694523459</v>
          </cell>
          <cell r="K390">
            <v>151515.50582348436</v>
          </cell>
          <cell r="L390" t="str">
            <v/>
          </cell>
          <cell r="M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  <cell r="T390" t="str">
            <v/>
          </cell>
          <cell r="U390" t="str">
            <v/>
          </cell>
        </row>
        <row r="391">
          <cell r="C391">
            <v>8</v>
          </cell>
          <cell r="H391" t="str">
            <v>Power per winch to lower - 100% speed, laden, unlimited (kw)</v>
          </cell>
          <cell r="J391">
            <v>16.661568000000003</v>
          </cell>
          <cell r="K391">
            <v>150.63763749999998</v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  <cell r="T391" t="str">
            <v/>
          </cell>
          <cell r="U391" t="str">
            <v/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AA63-AFE0-424B-A07A-7D064871DBD2}">
  <sheetPr codeName="Sheet1"/>
  <dimension ref="A1:W125"/>
  <sheetViews>
    <sheetView tabSelected="1" workbookViewId="0">
      <selection activeCell="D12" sqref="D12"/>
    </sheetView>
  </sheetViews>
  <sheetFormatPr defaultRowHeight="14.4" x14ac:dyDescent="0.3"/>
  <cols>
    <col min="1" max="2" width="3.6640625" customWidth="1"/>
    <col min="3" max="3" width="45.5546875" customWidth="1"/>
    <col min="4" max="4" width="52.21875" style="2" customWidth="1"/>
    <col min="5" max="18" width="8.5546875" style="1" customWidth="1"/>
    <col min="19" max="19" width="39.5546875" style="2" customWidth="1"/>
    <col min="20" max="20" width="39.5546875" style="1" customWidth="1"/>
  </cols>
  <sheetData>
    <row r="1" spans="1:20" x14ac:dyDescent="0.3">
      <c r="A1" s="8" t="s">
        <v>121</v>
      </c>
      <c r="B1" s="8"/>
      <c r="C1" s="9"/>
      <c r="D1" s="11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/>
      <c r="T1" s="10"/>
    </row>
    <row r="3" spans="1:20" x14ac:dyDescent="0.3">
      <c r="A3" s="8" t="s">
        <v>21</v>
      </c>
      <c r="B3" s="8"/>
      <c r="C3" s="8"/>
      <c r="D3" s="7" t="s">
        <v>89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</row>
    <row r="4" spans="1:20" x14ac:dyDescent="0.3">
      <c r="A4" t="s">
        <v>31</v>
      </c>
      <c r="D4" s="1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T4" s="2"/>
    </row>
    <row r="5" spans="1:20" x14ac:dyDescent="0.3">
      <c r="B5" t="s">
        <v>88</v>
      </c>
      <c r="D5" s="12" t="s">
        <v>127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T5" s="2"/>
    </row>
    <row r="6" spans="1:20" x14ac:dyDescent="0.3">
      <c r="B6" t="s">
        <v>65</v>
      </c>
      <c r="D6" s="12" t="s">
        <v>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T6" s="2"/>
    </row>
    <row r="7" spans="1:20" x14ac:dyDescent="0.3">
      <c r="B7" t="s">
        <v>21</v>
      </c>
      <c r="D7" s="12" t="s">
        <v>120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T7" s="2"/>
    </row>
    <row r="8" spans="1:20" x14ac:dyDescent="0.3">
      <c r="B8" t="s">
        <v>122</v>
      </c>
      <c r="D8" s="20">
        <v>44252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T8" s="2"/>
    </row>
    <row r="9" spans="1:20" x14ac:dyDescent="0.3">
      <c r="B9" t="s">
        <v>128</v>
      </c>
      <c r="D9" s="20" t="s">
        <v>129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T9" s="2"/>
    </row>
    <row r="10" spans="1:20" x14ac:dyDescent="0.3">
      <c r="B10" t="s">
        <v>126</v>
      </c>
      <c r="D10" s="1">
        <v>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s="2"/>
    </row>
    <row r="11" spans="1:20" x14ac:dyDescent="0.3">
      <c r="B11" t="s">
        <v>78</v>
      </c>
      <c r="D11" s="2" t="s">
        <v>79</v>
      </c>
    </row>
    <row r="12" spans="1:20" x14ac:dyDescent="0.3">
      <c r="B12" t="s">
        <v>98</v>
      </c>
      <c r="D12" s="1">
        <v>682</v>
      </c>
    </row>
    <row r="13" spans="1:20" x14ac:dyDescent="0.3">
      <c r="D13" s="1"/>
    </row>
    <row r="14" spans="1:20" x14ac:dyDescent="0.3">
      <c r="A14" t="s">
        <v>117</v>
      </c>
      <c r="D14" s="1"/>
    </row>
    <row r="15" spans="1:20" x14ac:dyDescent="0.3">
      <c r="B15" t="s">
        <v>115</v>
      </c>
      <c r="D15" s="19" t="s">
        <v>133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s="2"/>
    </row>
    <row r="16" spans="1:20" x14ac:dyDescent="0.3">
      <c r="B16" t="s">
        <v>116</v>
      </c>
      <c r="D16" s="19">
        <v>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T16" s="2"/>
    </row>
    <row r="17" spans="1:20" x14ac:dyDescent="0.3">
      <c r="B17" t="s">
        <v>118</v>
      </c>
      <c r="D17" s="5" t="s">
        <v>119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s="2"/>
    </row>
    <row r="18" spans="1:20" x14ac:dyDescent="0.3">
      <c r="D18" s="19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s="2"/>
    </row>
    <row r="19" spans="1:20" x14ac:dyDescent="0.3">
      <c r="A19" t="s">
        <v>14</v>
      </c>
      <c r="D19" s="1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T19" s="2"/>
    </row>
    <row r="20" spans="1:20" x14ac:dyDescent="0.3">
      <c r="B20" t="s">
        <v>2</v>
      </c>
      <c r="D20" s="12" t="s">
        <v>76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T20" s="2"/>
    </row>
    <row r="21" spans="1:20" x14ac:dyDescent="0.3">
      <c r="B21" t="s">
        <v>64</v>
      </c>
      <c r="D21" s="2" t="s">
        <v>71</v>
      </c>
    </row>
    <row r="22" spans="1:20" x14ac:dyDescent="0.3">
      <c r="B22" t="s">
        <v>74</v>
      </c>
      <c r="D22" s="2" t="s">
        <v>75</v>
      </c>
    </row>
    <row r="23" spans="1:20" x14ac:dyDescent="0.3">
      <c r="B23" t="s">
        <v>60</v>
      </c>
      <c r="D23" s="5">
        <v>0.1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T23" s="2"/>
    </row>
    <row r="24" spans="1:20" x14ac:dyDescent="0.3">
      <c r="D24" s="1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T24" s="2"/>
    </row>
    <row r="25" spans="1:20" x14ac:dyDescent="0.3">
      <c r="A25" t="s">
        <v>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T25" s="2"/>
    </row>
    <row r="26" spans="1:20" x14ac:dyDescent="0.3">
      <c r="B26" t="s">
        <v>13</v>
      </c>
      <c r="D26" s="12" t="s">
        <v>67</v>
      </c>
    </row>
    <row r="27" spans="1:20" x14ac:dyDescent="0.3">
      <c r="B27" t="s">
        <v>66</v>
      </c>
      <c r="D27" s="2" t="s">
        <v>68</v>
      </c>
    </row>
    <row r="28" spans="1:20" x14ac:dyDescent="0.3">
      <c r="B28" t="s">
        <v>69</v>
      </c>
      <c r="D28" s="2" t="s">
        <v>70</v>
      </c>
    </row>
    <row r="30" spans="1:20" x14ac:dyDescent="0.3">
      <c r="A30" t="s">
        <v>1</v>
      </c>
    </row>
    <row r="31" spans="1:20" x14ac:dyDescent="0.3">
      <c r="B31" t="s">
        <v>0</v>
      </c>
      <c r="D31" s="13" t="s">
        <v>71</v>
      </c>
    </row>
    <row r="32" spans="1:20" x14ac:dyDescent="0.3">
      <c r="B32" t="s">
        <v>13</v>
      </c>
      <c r="D32" s="2" t="s">
        <v>72</v>
      </c>
    </row>
    <row r="33" spans="1:23" x14ac:dyDescent="0.3">
      <c r="B33" t="s">
        <v>73</v>
      </c>
      <c r="D33" s="2" t="s">
        <v>130</v>
      </c>
    </row>
    <row r="34" spans="1:23" ht="28.8" x14ac:dyDescent="0.3">
      <c r="B34" t="s">
        <v>81</v>
      </c>
      <c r="D34" s="2" t="s">
        <v>80</v>
      </c>
    </row>
    <row r="36" spans="1:23" s="2" customFormat="1" x14ac:dyDescent="0.3">
      <c r="A36" t="s">
        <v>134</v>
      </c>
      <c r="B36"/>
      <c r="C36"/>
      <c r="E36" s="1"/>
      <c r="F36" s="1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T36" s="1"/>
      <c r="U36"/>
      <c r="V36"/>
      <c r="W36"/>
    </row>
    <row r="37" spans="1:23" s="2" customFormat="1" x14ac:dyDescent="0.3">
      <c r="A37"/>
      <c r="B37" t="s">
        <v>108</v>
      </c>
      <c r="C37"/>
      <c r="E37" s="6" t="s">
        <v>87</v>
      </c>
      <c r="F37" s="6" t="s">
        <v>86</v>
      </c>
      <c r="G37" s="6" t="s">
        <v>90</v>
      </c>
      <c r="H37" s="6" t="s">
        <v>102</v>
      </c>
      <c r="I37" s="6" t="s">
        <v>99</v>
      </c>
      <c r="J37" s="6" t="s">
        <v>91</v>
      </c>
      <c r="K37" s="6" t="s">
        <v>103</v>
      </c>
      <c r="L37" s="6" t="s">
        <v>100</v>
      </c>
      <c r="M37" s="6" t="s">
        <v>93</v>
      </c>
      <c r="N37" s="6" t="s">
        <v>101</v>
      </c>
      <c r="O37" s="6" t="s">
        <v>92</v>
      </c>
      <c r="P37" s="6" t="s">
        <v>96</v>
      </c>
      <c r="Q37" s="6"/>
      <c r="R37" s="6"/>
      <c r="T37" s="1"/>
      <c r="U37"/>
      <c r="V37"/>
      <c r="W37"/>
    </row>
    <row r="38" spans="1:23" s="2" customFormat="1" x14ac:dyDescent="0.3">
      <c r="A38"/>
      <c r="B38" t="s">
        <v>110</v>
      </c>
      <c r="C38"/>
      <c r="D38" s="2" t="s">
        <v>61</v>
      </c>
      <c r="E38" s="5">
        <v>1</v>
      </c>
      <c r="F38" s="5"/>
      <c r="G38" s="5">
        <v>0.95</v>
      </c>
      <c r="H38" s="5">
        <v>0.75</v>
      </c>
      <c r="I38" s="5">
        <v>0.4</v>
      </c>
      <c r="J38" s="5">
        <v>0.95</v>
      </c>
      <c r="K38" s="5">
        <v>0.75</v>
      </c>
      <c r="L38" s="5">
        <v>0.4</v>
      </c>
      <c r="M38" s="5">
        <v>0.95</v>
      </c>
      <c r="N38" s="5">
        <v>0.4</v>
      </c>
      <c r="O38" s="5">
        <v>0.95</v>
      </c>
      <c r="P38" s="5">
        <v>0.95</v>
      </c>
      <c r="Q38" s="5"/>
      <c r="R38" s="5"/>
      <c r="T38" s="1"/>
      <c r="U38"/>
      <c r="V38"/>
      <c r="W38"/>
    </row>
    <row r="39" spans="1:23" s="2" customFormat="1" x14ac:dyDescent="0.3">
      <c r="A39"/>
      <c r="B39" t="s">
        <v>111</v>
      </c>
      <c r="C39"/>
      <c r="D39" t="s">
        <v>63</v>
      </c>
      <c r="E39" s="1"/>
      <c r="F39" s="1"/>
      <c r="G39" s="1">
        <v>15.6</v>
      </c>
      <c r="H39" s="1"/>
      <c r="I39" s="1"/>
      <c r="J39" s="1">
        <v>3</v>
      </c>
      <c r="K39" s="1"/>
      <c r="L39" s="1"/>
      <c r="M39" s="1">
        <v>8</v>
      </c>
      <c r="N39" s="1"/>
      <c r="O39" s="1">
        <v>14.9</v>
      </c>
      <c r="P39" s="1">
        <v>17.3</v>
      </c>
      <c r="Q39" s="1"/>
      <c r="R39" s="1"/>
      <c r="T39" s="1"/>
      <c r="U39"/>
      <c r="V39"/>
      <c r="W39"/>
    </row>
    <row r="40" spans="1:23" s="2" customFormat="1" x14ac:dyDescent="0.3">
      <c r="A40"/>
      <c r="B40" t="s">
        <v>56</v>
      </c>
      <c r="C40"/>
      <c r="D40" t="s">
        <v>62</v>
      </c>
      <c r="E40" s="1" t="s">
        <v>109</v>
      </c>
      <c r="F40" s="3">
        <v>180</v>
      </c>
      <c r="G40" s="3">
        <v>165.29999999999998</v>
      </c>
      <c r="H40" s="3">
        <v>130.5</v>
      </c>
      <c r="I40" s="3">
        <v>69.599999999999994</v>
      </c>
      <c r="J40" s="3">
        <v>165.29999999999998</v>
      </c>
      <c r="K40" s="3">
        <v>130.5</v>
      </c>
      <c r="L40" s="3">
        <v>69.599999999999994</v>
      </c>
      <c r="M40" s="3">
        <v>165.29999999999998</v>
      </c>
      <c r="N40" s="3">
        <v>69.599999999999994</v>
      </c>
      <c r="O40" s="3">
        <v>165.29999999999998</v>
      </c>
      <c r="P40" s="3">
        <v>165.29999999999998</v>
      </c>
      <c r="Q40" s="3"/>
      <c r="R40" s="3"/>
      <c r="T40" s="1"/>
      <c r="U40"/>
      <c r="V40"/>
      <c r="W40"/>
    </row>
    <row r="41" spans="1:23" s="2" customFormat="1" x14ac:dyDescent="0.3">
      <c r="A41"/>
      <c r="B41" t="s">
        <v>59</v>
      </c>
      <c r="C41"/>
      <c r="D41" t="s">
        <v>63</v>
      </c>
      <c r="E41" s="1">
        <v>0</v>
      </c>
      <c r="F41" s="4">
        <v>18</v>
      </c>
      <c r="G41" s="4">
        <f>G39*G38</f>
        <v>14.819999999999999</v>
      </c>
      <c r="H41" s="4">
        <f>G39*H38</f>
        <v>11.7</v>
      </c>
      <c r="I41" s="4">
        <f>G39*I38</f>
        <v>6.24</v>
      </c>
      <c r="J41" s="4">
        <f>J39*J38</f>
        <v>2.8499999999999996</v>
      </c>
      <c r="K41" s="4">
        <f>J39*K38</f>
        <v>2.25</v>
      </c>
      <c r="L41" s="4">
        <f>J39*L38</f>
        <v>1.2000000000000002</v>
      </c>
      <c r="M41" s="4">
        <f>M39*M38</f>
        <v>7.6</v>
      </c>
      <c r="N41" s="4">
        <f>M39*N38</f>
        <v>3.2</v>
      </c>
      <c r="O41" s="4">
        <f>O39*O38</f>
        <v>14.154999999999999</v>
      </c>
      <c r="P41" s="4">
        <f>P39*P38</f>
        <v>16.434999999999999</v>
      </c>
      <c r="Q41" s="4"/>
      <c r="R41" s="4"/>
      <c r="T41" s="1"/>
      <c r="U41"/>
      <c r="V41"/>
      <c r="W41"/>
    </row>
    <row r="42" spans="1:23" s="2" customFormat="1" x14ac:dyDescent="0.3">
      <c r="A42"/>
      <c r="B42" t="s">
        <v>57</v>
      </c>
      <c r="C42"/>
      <c r="D4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T42" s="1"/>
      <c r="U42"/>
      <c r="V42"/>
      <c r="W42"/>
    </row>
    <row r="43" spans="1:23" s="2" customFormat="1" x14ac:dyDescent="0.3">
      <c r="A43"/>
      <c r="B43"/>
      <c r="C43" t="s">
        <v>104</v>
      </c>
      <c r="D43" t="s">
        <v>58</v>
      </c>
      <c r="E43" s="1">
        <v>0</v>
      </c>
      <c r="F43" s="1">
        <v>25</v>
      </c>
      <c r="G43" s="1">
        <v>35</v>
      </c>
      <c r="H43" s="1">
        <v>35</v>
      </c>
      <c r="I43" s="1">
        <v>35</v>
      </c>
      <c r="J43" s="1">
        <v>35</v>
      </c>
      <c r="K43" s="1">
        <v>35</v>
      </c>
      <c r="L43" s="1">
        <v>35</v>
      </c>
      <c r="M43" s="1">
        <v>35</v>
      </c>
      <c r="N43" s="1">
        <v>35</v>
      </c>
      <c r="O43" s="1">
        <v>35</v>
      </c>
      <c r="P43" s="1">
        <v>30</v>
      </c>
      <c r="Q43" s="1"/>
      <c r="R43" s="1"/>
      <c r="T43" s="1"/>
      <c r="U43"/>
      <c r="V43"/>
      <c r="W43"/>
    </row>
    <row r="44" spans="1:23" s="2" customFormat="1" x14ac:dyDescent="0.3">
      <c r="A44"/>
      <c r="B44"/>
      <c r="C44" t="s">
        <v>105</v>
      </c>
      <c r="D44" t="s">
        <v>58</v>
      </c>
      <c r="E44" s="1">
        <v>0</v>
      </c>
      <c r="F44" s="1">
        <v>15</v>
      </c>
      <c r="G44" s="1">
        <v>30</v>
      </c>
      <c r="H44" s="1">
        <v>30</v>
      </c>
      <c r="I44" s="1">
        <v>30</v>
      </c>
      <c r="J44" s="1">
        <v>30</v>
      </c>
      <c r="K44" s="1">
        <v>30</v>
      </c>
      <c r="L44" s="1">
        <v>30</v>
      </c>
      <c r="M44" s="1">
        <v>20</v>
      </c>
      <c r="N44" s="1">
        <v>20</v>
      </c>
      <c r="O44" s="1">
        <v>20</v>
      </c>
      <c r="P44" s="1">
        <v>20</v>
      </c>
      <c r="Q44" s="1"/>
      <c r="R44" s="1"/>
      <c r="T44" s="1"/>
      <c r="U44"/>
      <c r="V44"/>
      <c r="W44"/>
    </row>
    <row r="45" spans="1:23" s="2" customFormat="1" x14ac:dyDescent="0.3">
      <c r="A45"/>
      <c r="B45" t="s">
        <v>106</v>
      </c>
      <c r="C45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T45" s="1"/>
      <c r="U45"/>
      <c r="V45"/>
      <c r="W45"/>
    </row>
    <row r="46" spans="1:23" s="2" customFormat="1" x14ac:dyDescent="0.3">
      <c r="A46"/>
      <c r="B46"/>
      <c r="C46" t="s">
        <v>104</v>
      </c>
      <c r="D46" s="2" t="s">
        <v>97</v>
      </c>
      <c r="E46" s="1">
        <v>0</v>
      </c>
      <c r="F46" s="3">
        <f t="shared" ref="F46:P46" si="0">F41*2*PI()/60*F43</f>
        <v>47.123889803846893</v>
      </c>
      <c r="G46" s="3">
        <f t="shared" si="0"/>
        <v>54.318136980567516</v>
      </c>
      <c r="H46" s="3">
        <f t="shared" si="0"/>
        <v>42.88273972150067</v>
      </c>
      <c r="I46" s="3">
        <f t="shared" si="0"/>
        <v>22.870794518133692</v>
      </c>
      <c r="J46" s="3">
        <f t="shared" si="0"/>
        <v>10.445795573186061</v>
      </c>
      <c r="K46" s="3">
        <f t="shared" si="0"/>
        <v>8.2466807156732074</v>
      </c>
      <c r="L46" s="3">
        <f t="shared" si="0"/>
        <v>4.3982297150257104</v>
      </c>
      <c r="M46" s="3">
        <f t="shared" si="0"/>
        <v>27.8554548618295</v>
      </c>
      <c r="N46" s="3">
        <f t="shared" si="0"/>
        <v>11.728612573401893</v>
      </c>
      <c r="O46" s="3">
        <f t="shared" si="0"/>
        <v>51.88078468015744</v>
      </c>
      <c r="P46" s="3">
        <f t="shared" si="0"/>
        <v>51.632075261748248</v>
      </c>
      <c r="Q46" s="3"/>
      <c r="R46" s="3"/>
      <c r="T46" s="1"/>
      <c r="U46"/>
      <c r="V46"/>
      <c r="W46"/>
    </row>
    <row r="47" spans="1:23" s="2" customFormat="1" x14ac:dyDescent="0.3">
      <c r="A47"/>
      <c r="B47"/>
      <c r="C47" t="s">
        <v>105</v>
      </c>
      <c r="D47" s="2" t="s">
        <v>97</v>
      </c>
      <c r="E47" s="1">
        <v>0</v>
      </c>
      <c r="F47" s="3">
        <f>F41*2*PI()/60*F44</f>
        <v>28.274333882308138</v>
      </c>
      <c r="G47" s="3">
        <f t="shared" ref="G47:P47" si="1">G41*2*PI()/60*G44</f>
        <v>46.55840312620073</v>
      </c>
      <c r="H47" s="3">
        <f t="shared" si="1"/>
        <v>36.756634047000574</v>
      </c>
      <c r="I47" s="3">
        <f t="shared" si="1"/>
        <v>19.603538158400308</v>
      </c>
      <c r="J47" s="3">
        <f t="shared" si="1"/>
        <v>8.9535390627309095</v>
      </c>
      <c r="K47" s="3">
        <f t="shared" si="1"/>
        <v>7.0685834705770345</v>
      </c>
      <c r="L47" s="3">
        <f t="shared" si="1"/>
        <v>3.7699111843077522</v>
      </c>
      <c r="M47" s="3">
        <f t="shared" si="1"/>
        <v>15.917402778188286</v>
      </c>
      <c r="N47" s="3">
        <f t="shared" si="1"/>
        <v>6.702064327658225</v>
      </c>
      <c r="O47" s="3">
        <f t="shared" si="1"/>
        <v>29.646162674375681</v>
      </c>
      <c r="P47" s="3">
        <f t="shared" si="1"/>
        <v>34.421383507832168</v>
      </c>
      <c r="Q47" s="3"/>
      <c r="R47" s="3"/>
      <c r="T47" s="1"/>
      <c r="U47"/>
      <c r="V47"/>
      <c r="W47"/>
    </row>
    <row r="48" spans="1:23" s="2" customFormat="1" x14ac:dyDescent="0.3">
      <c r="A48"/>
      <c r="B48" t="s">
        <v>82</v>
      </c>
      <c r="C4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T48" s="1"/>
      <c r="U48"/>
      <c r="V48"/>
      <c r="W48"/>
    </row>
    <row r="49" spans="1:23" s="2" customFormat="1" x14ac:dyDescent="0.3">
      <c r="A49"/>
      <c r="B49"/>
      <c r="C49" t="s">
        <v>107</v>
      </c>
      <c r="D49" s="2" t="s">
        <v>61</v>
      </c>
      <c r="E49" s="18">
        <f>1-SUM(F49:P49)</f>
        <v>0.499</v>
      </c>
      <c r="F49" s="17">
        <v>1E-3</v>
      </c>
      <c r="G49" s="5">
        <v>0.05</v>
      </c>
      <c r="H49" s="5">
        <v>0.05</v>
      </c>
      <c r="I49" s="5">
        <v>0.05</v>
      </c>
      <c r="J49" s="5">
        <v>0.05</v>
      </c>
      <c r="K49" s="5">
        <v>0.05</v>
      </c>
      <c r="L49" s="5">
        <v>0.05</v>
      </c>
      <c r="M49" s="5">
        <v>0.05</v>
      </c>
      <c r="N49" s="5">
        <v>0.05</v>
      </c>
      <c r="O49" s="5">
        <v>0.05</v>
      </c>
      <c r="P49" s="5">
        <v>0.05</v>
      </c>
      <c r="Q49" s="5"/>
      <c r="R49" s="5"/>
      <c r="T49" s="1"/>
      <c r="U49"/>
      <c r="V49"/>
      <c r="W49"/>
    </row>
    <row r="51" spans="1:23" x14ac:dyDescent="0.3">
      <c r="A51" t="s">
        <v>112</v>
      </c>
    </row>
    <row r="52" spans="1:23" x14ac:dyDescent="0.3">
      <c r="B52" t="s">
        <v>113</v>
      </c>
      <c r="D52" s="2" t="s">
        <v>114</v>
      </c>
    </row>
    <row r="53" spans="1:23" x14ac:dyDescent="0.3">
      <c r="B53" t="s">
        <v>131</v>
      </c>
      <c r="D53" s="2" t="s">
        <v>132</v>
      </c>
    </row>
    <row r="55" spans="1:23" x14ac:dyDescent="0.3">
      <c r="A55" t="s">
        <v>123</v>
      </c>
    </row>
    <row r="56" spans="1:23" x14ac:dyDescent="0.3">
      <c r="B56" t="s">
        <v>125</v>
      </c>
      <c r="D56" s="1">
        <v>3000</v>
      </c>
    </row>
    <row r="57" spans="1:23" x14ac:dyDescent="0.3">
      <c r="B57" t="s">
        <v>124</v>
      </c>
      <c r="D57" s="1">
        <v>15000</v>
      </c>
    </row>
    <row r="75" spans="3:20" x14ac:dyDescent="0.3">
      <c r="C75" t="s">
        <v>20</v>
      </c>
      <c r="D75" s="12"/>
      <c r="Q75" s="3"/>
      <c r="R75" s="3"/>
      <c r="T75" s="2"/>
    </row>
    <row r="76" spans="3:20" x14ac:dyDescent="0.3">
      <c r="C76" t="s">
        <v>32</v>
      </c>
      <c r="D76" s="14"/>
      <c r="Q76" s="4"/>
      <c r="R76" s="4"/>
      <c r="T76" s="2"/>
    </row>
    <row r="77" spans="3:20" x14ac:dyDescent="0.3">
      <c r="C77" t="s">
        <v>34</v>
      </c>
      <c r="D77" s="14"/>
      <c r="Q77" s="4"/>
      <c r="R77" s="4"/>
      <c r="T77" s="2"/>
    </row>
    <row r="78" spans="3:20" x14ac:dyDescent="0.3">
      <c r="C78" t="s">
        <v>35</v>
      </c>
      <c r="D78" s="14"/>
      <c r="Q78" s="4"/>
      <c r="R78" s="4"/>
      <c r="T78" s="2"/>
    </row>
    <row r="79" spans="3:20" x14ac:dyDescent="0.3">
      <c r="C79" t="s">
        <v>55</v>
      </c>
      <c r="D79" s="14"/>
      <c r="Q79" s="4"/>
      <c r="R79" s="4"/>
      <c r="T79" s="2"/>
    </row>
    <row r="80" spans="3:20" x14ac:dyDescent="0.3">
      <c r="C80" t="s">
        <v>50</v>
      </c>
      <c r="D80" s="15"/>
      <c r="Q80" s="4"/>
      <c r="R80" s="4"/>
      <c r="T80" s="2"/>
    </row>
    <row r="81" spans="1:20" x14ac:dyDescent="0.3">
      <c r="C81" t="s">
        <v>54</v>
      </c>
      <c r="D81" s="16"/>
      <c r="Q81" s="4"/>
      <c r="R81" s="4"/>
      <c r="T81" s="2"/>
    </row>
    <row r="82" spans="1:20" x14ac:dyDescent="0.3">
      <c r="C82" t="s">
        <v>53</v>
      </c>
      <c r="D82" s="12"/>
      <c r="Q82" s="4"/>
      <c r="R82" s="4"/>
      <c r="T82" s="2"/>
    </row>
    <row r="83" spans="1:20" x14ac:dyDescent="0.3">
      <c r="C83" t="s">
        <v>51</v>
      </c>
      <c r="D83" s="1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T83" s="2"/>
    </row>
    <row r="84" spans="1:20" x14ac:dyDescent="0.3">
      <c r="C84" t="s">
        <v>33</v>
      </c>
      <c r="D84" s="12"/>
      <c r="F84" s="18">
        <v>0.02</v>
      </c>
      <c r="G84" s="1" t="s">
        <v>90</v>
      </c>
      <c r="J84" s="1" t="s">
        <v>91</v>
      </c>
      <c r="M84" s="1" t="s">
        <v>93</v>
      </c>
      <c r="O84" s="1" t="s">
        <v>92</v>
      </c>
      <c r="P84" s="1" t="s">
        <v>96</v>
      </c>
      <c r="Q84" s="3"/>
      <c r="R84" s="3"/>
      <c r="T84" s="2"/>
    </row>
    <row r="85" spans="1:20" x14ac:dyDescent="0.3">
      <c r="C85" t="s">
        <v>43</v>
      </c>
      <c r="D85" s="15"/>
      <c r="E85" s="1" t="s">
        <v>87</v>
      </c>
      <c r="F85" s="1" t="s">
        <v>86</v>
      </c>
      <c r="G85" s="1" t="s">
        <v>83</v>
      </c>
      <c r="J85" s="1" t="s">
        <v>84</v>
      </c>
      <c r="M85" s="1" t="s">
        <v>94</v>
      </c>
      <c r="O85" s="1" t="s">
        <v>85</v>
      </c>
      <c r="P85" s="1" t="s">
        <v>95</v>
      </c>
      <c r="Q85" s="3"/>
      <c r="R85" s="3"/>
      <c r="T85" s="2"/>
    </row>
    <row r="86" spans="1:20" x14ac:dyDescent="0.3">
      <c r="C86" t="s">
        <v>49</v>
      </c>
      <c r="D86" s="12"/>
      <c r="Q86" s="3"/>
      <c r="R86" s="3"/>
      <c r="T86" s="2"/>
    </row>
    <row r="87" spans="1:20" x14ac:dyDescent="0.3">
      <c r="C87" t="s">
        <v>52</v>
      </c>
      <c r="D87" s="12"/>
      <c r="Q87" s="3"/>
      <c r="R87" s="3"/>
      <c r="T87" s="2"/>
    </row>
    <row r="88" spans="1:20" x14ac:dyDescent="0.3">
      <c r="D88" s="12"/>
      <c r="E88" s="5">
        <v>0.5</v>
      </c>
      <c r="F88" s="18">
        <v>0.01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3"/>
      <c r="R88" s="3"/>
      <c r="T88" s="2"/>
    </row>
    <row r="89" spans="1:20" x14ac:dyDescent="0.3">
      <c r="A89" t="s">
        <v>19</v>
      </c>
      <c r="E89" s="1">
        <v>0</v>
      </c>
      <c r="F89" s="1">
        <v>40</v>
      </c>
      <c r="G89" s="1">
        <v>40</v>
      </c>
      <c r="J89" s="1">
        <v>40</v>
      </c>
      <c r="M89" s="1">
        <v>40</v>
      </c>
      <c r="O89" s="1">
        <v>40</v>
      </c>
      <c r="P89" s="1">
        <v>40</v>
      </c>
    </row>
    <row r="90" spans="1:20" x14ac:dyDescent="0.3">
      <c r="C90" t="s">
        <v>6</v>
      </c>
      <c r="D90" s="12"/>
      <c r="G90" s="1">
        <v>7</v>
      </c>
      <c r="J90" s="1">
        <v>3</v>
      </c>
      <c r="M90" s="1">
        <v>8</v>
      </c>
      <c r="O90" s="1">
        <v>9.4</v>
      </c>
      <c r="P90" s="1">
        <v>12</v>
      </c>
      <c r="Q90" s="3"/>
      <c r="R90" s="3"/>
      <c r="T90" s="2"/>
    </row>
    <row r="91" spans="1:20" x14ac:dyDescent="0.3">
      <c r="C91" t="s">
        <v>36</v>
      </c>
      <c r="D91" s="12"/>
      <c r="Q91" s="3"/>
      <c r="R91" s="3"/>
    </row>
    <row r="92" spans="1:20" x14ac:dyDescent="0.3">
      <c r="C92" t="s">
        <v>37</v>
      </c>
    </row>
    <row r="93" spans="1:20" x14ac:dyDescent="0.3">
      <c r="C93" t="s">
        <v>18</v>
      </c>
      <c r="E93" s="1">
        <v>0</v>
      </c>
      <c r="F93" s="1">
        <v>0</v>
      </c>
      <c r="G93" s="1">
        <v>29.321531433504738</v>
      </c>
      <c r="J93" s="1">
        <v>12.566370614359172</v>
      </c>
      <c r="M93" s="1">
        <v>33.510321638291124</v>
      </c>
      <c r="O93" s="1">
        <v>39.374627924992069</v>
      </c>
      <c r="P93" s="1">
        <v>50.26548245743669</v>
      </c>
    </row>
    <row r="94" spans="1:20" x14ac:dyDescent="0.3">
      <c r="C94" t="s">
        <v>17</v>
      </c>
    </row>
    <row r="95" spans="1:20" x14ac:dyDescent="0.3">
      <c r="C95" t="s">
        <v>39</v>
      </c>
      <c r="D95" s="12"/>
      <c r="F95" s="18">
        <v>0.05</v>
      </c>
      <c r="G95" s="1" t="s">
        <v>90</v>
      </c>
      <c r="J95" s="1" t="s">
        <v>91</v>
      </c>
      <c r="M95" s="1" t="s">
        <v>93</v>
      </c>
      <c r="O95" s="1" t="s">
        <v>92</v>
      </c>
      <c r="P95" s="1" t="s">
        <v>96</v>
      </c>
      <c r="Q95" s="3"/>
      <c r="R95" s="3"/>
    </row>
    <row r="96" spans="1:20" x14ac:dyDescent="0.3">
      <c r="C96" t="s">
        <v>38</v>
      </c>
      <c r="D96" s="12"/>
      <c r="E96" s="1" t="s">
        <v>87</v>
      </c>
      <c r="F96" s="1" t="s">
        <v>86</v>
      </c>
      <c r="G96" s="1" t="s">
        <v>83</v>
      </c>
      <c r="J96" s="1" t="s">
        <v>84</v>
      </c>
      <c r="M96" s="1" t="s">
        <v>85</v>
      </c>
      <c r="O96" s="1" t="s">
        <v>94</v>
      </c>
      <c r="P96" s="1" t="s">
        <v>95</v>
      </c>
      <c r="Q96" s="3"/>
      <c r="R96" s="3"/>
    </row>
    <row r="97" spans="1:23" x14ac:dyDescent="0.3">
      <c r="C97" t="s">
        <v>16</v>
      </c>
      <c r="D97" s="12"/>
      <c r="Q97" s="3"/>
      <c r="R97" s="3"/>
      <c r="S97" s="2" t="s">
        <v>28</v>
      </c>
    </row>
    <row r="98" spans="1:23" x14ac:dyDescent="0.3">
      <c r="C98" t="s">
        <v>15</v>
      </c>
      <c r="D98" s="12"/>
      <c r="Q98" s="3"/>
      <c r="R98" s="3"/>
    </row>
    <row r="99" spans="1:23" x14ac:dyDescent="0.3">
      <c r="A99" t="s">
        <v>14</v>
      </c>
      <c r="E99" s="5">
        <v>0.5</v>
      </c>
      <c r="F99" s="18">
        <v>0.01</v>
      </c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23" x14ac:dyDescent="0.3">
      <c r="C100" t="s">
        <v>13</v>
      </c>
      <c r="E100" s="1">
        <v>0</v>
      </c>
      <c r="F100" s="1">
        <v>40</v>
      </c>
      <c r="G100" s="1">
        <v>40</v>
      </c>
      <c r="J100" s="1">
        <v>40</v>
      </c>
      <c r="M100" s="1">
        <v>40</v>
      </c>
      <c r="O100" s="1">
        <v>40</v>
      </c>
      <c r="P100" s="1">
        <v>40</v>
      </c>
    </row>
    <row r="101" spans="1:23" x14ac:dyDescent="0.3">
      <c r="C101" t="s">
        <v>12</v>
      </c>
      <c r="G101" s="1">
        <v>13</v>
      </c>
      <c r="J101" s="1">
        <v>3</v>
      </c>
      <c r="M101" s="1">
        <v>8</v>
      </c>
      <c r="O101" s="1">
        <v>14.9</v>
      </c>
      <c r="P101" s="1">
        <v>17.3</v>
      </c>
    </row>
    <row r="102" spans="1:23" x14ac:dyDescent="0.3">
      <c r="C102" t="s">
        <v>11</v>
      </c>
      <c r="D102" s="15"/>
      <c r="Q102" s="5"/>
      <c r="R102" s="5"/>
    </row>
    <row r="103" spans="1:23" x14ac:dyDescent="0.3">
      <c r="C103" t="s">
        <v>10</v>
      </c>
      <c r="S103" s="2" t="s">
        <v>29</v>
      </c>
      <c r="T103" s="1" t="s">
        <v>30</v>
      </c>
    </row>
    <row r="104" spans="1:23" x14ac:dyDescent="0.3">
      <c r="C104" t="s">
        <v>2</v>
      </c>
      <c r="E104" s="1">
        <v>0</v>
      </c>
      <c r="F104" s="1">
        <v>0</v>
      </c>
      <c r="G104" s="1">
        <v>54.45427266222309</v>
      </c>
      <c r="J104" s="1">
        <v>12.566370614359172</v>
      </c>
      <c r="M104" s="1">
        <v>33.510321638291124</v>
      </c>
      <c r="O104" s="1">
        <v>62.412974051317221</v>
      </c>
      <c r="P104" s="1">
        <v>72.466070542804573</v>
      </c>
    </row>
    <row r="105" spans="1:23" x14ac:dyDescent="0.3">
      <c r="A105" t="s">
        <v>9</v>
      </c>
      <c r="W105" t="str">
        <f>IF(ISNUMBER(#REF!),INDEX(TAlabel,MATCH(#REF!,TAindex,0)+#REF!,3),"")</f>
        <v/>
      </c>
    </row>
    <row r="106" spans="1:23" x14ac:dyDescent="0.3">
      <c r="C106" t="s">
        <v>8</v>
      </c>
    </row>
    <row r="107" spans="1:23" x14ac:dyDescent="0.3">
      <c r="C107" t="s">
        <v>43</v>
      </c>
      <c r="D107" s="15"/>
      <c r="F107" s="18">
        <v>0.1</v>
      </c>
      <c r="G107" s="1" t="s">
        <v>90</v>
      </c>
      <c r="J107" s="1" t="s">
        <v>91</v>
      </c>
      <c r="M107" s="1" t="s">
        <v>93</v>
      </c>
      <c r="O107" s="1" t="s">
        <v>92</v>
      </c>
      <c r="P107" s="1" t="s">
        <v>96</v>
      </c>
      <c r="Q107" s="5"/>
      <c r="R107" s="5"/>
    </row>
    <row r="108" spans="1:23" x14ac:dyDescent="0.3">
      <c r="C108" t="s">
        <v>7</v>
      </c>
      <c r="D108" s="14"/>
      <c r="E108" s="1" t="s">
        <v>87</v>
      </c>
      <c r="F108" s="1" t="s">
        <v>86</v>
      </c>
      <c r="G108" s="1" t="s">
        <v>83</v>
      </c>
      <c r="J108" s="1" t="s">
        <v>84</v>
      </c>
      <c r="M108" s="1" t="s">
        <v>85</v>
      </c>
      <c r="O108" s="1" t="s">
        <v>94</v>
      </c>
      <c r="P108" s="1" t="s">
        <v>95</v>
      </c>
      <c r="Q108" s="4"/>
      <c r="R108" s="4"/>
      <c r="W108" t="str">
        <f>IF(ISNUMBER(#REF!),INDEX(TAlabel,MATCH(#REF!,TAindex,0)+#REF!,3),"")</f>
        <v/>
      </c>
    </row>
    <row r="109" spans="1:23" x14ac:dyDescent="0.3">
      <c r="C109" t="s">
        <v>6</v>
      </c>
      <c r="D109" s="12"/>
      <c r="Q109" s="3"/>
      <c r="R109" s="3"/>
    </row>
    <row r="110" spans="1:23" x14ac:dyDescent="0.3">
      <c r="C110" t="s">
        <v>23</v>
      </c>
      <c r="D110" s="12"/>
      <c r="Q110" s="3"/>
      <c r="R110" s="3"/>
      <c r="W110" t="str">
        <f>IF(ISNUMBER(#REF!),INDEX(TAlabel,MATCH(#REF!,TAindex,0)+#REF!,3),"")</f>
        <v/>
      </c>
    </row>
    <row r="111" spans="1:23" x14ac:dyDescent="0.3">
      <c r="A111" t="s">
        <v>40</v>
      </c>
      <c r="D111" s="12"/>
      <c r="E111" s="5">
        <v>0.5</v>
      </c>
      <c r="F111" s="18">
        <v>0.01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3"/>
      <c r="R111" s="3"/>
    </row>
    <row r="112" spans="1:23" x14ac:dyDescent="0.3">
      <c r="C112" t="s">
        <v>26</v>
      </c>
      <c r="D112" s="12"/>
      <c r="E112" s="1">
        <v>0</v>
      </c>
      <c r="F112" s="1">
        <v>40</v>
      </c>
      <c r="G112" s="1">
        <v>40</v>
      </c>
      <c r="J112" s="1">
        <v>40</v>
      </c>
      <c r="M112" s="1">
        <v>40</v>
      </c>
      <c r="O112" s="1">
        <v>40</v>
      </c>
      <c r="P112" s="1">
        <v>40</v>
      </c>
      <c r="Q112" s="3"/>
      <c r="R112" s="3"/>
      <c r="S112" s="2" t="s">
        <v>27</v>
      </c>
    </row>
    <row r="113" spans="1:19" x14ac:dyDescent="0.3">
      <c r="C113" t="s">
        <v>5</v>
      </c>
      <c r="D113" s="12"/>
      <c r="G113" s="1">
        <v>22</v>
      </c>
      <c r="J113" s="1">
        <v>3</v>
      </c>
      <c r="M113" s="1">
        <v>8</v>
      </c>
      <c r="O113" s="1">
        <v>24.2</v>
      </c>
      <c r="P113" s="1">
        <v>26.5</v>
      </c>
      <c r="Q113" s="3"/>
      <c r="R113" s="3"/>
    </row>
    <row r="114" spans="1:19" x14ac:dyDescent="0.3">
      <c r="C114" t="s">
        <v>4</v>
      </c>
      <c r="D114" s="1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3"/>
      <c r="R114" s="3"/>
      <c r="S114" s="2" t="s">
        <v>24</v>
      </c>
    </row>
    <row r="115" spans="1:19" ht="28.8" x14ac:dyDescent="0.3">
      <c r="C115" t="s">
        <v>3</v>
      </c>
      <c r="D115" s="1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3"/>
      <c r="R115" s="3"/>
      <c r="S115" s="2" t="s">
        <v>22</v>
      </c>
    </row>
    <row r="116" spans="1:19" x14ac:dyDescent="0.3">
      <c r="C116" t="s">
        <v>2</v>
      </c>
      <c r="D116" s="1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3"/>
      <c r="R116" s="3"/>
      <c r="S116" s="2" t="s">
        <v>25</v>
      </c>
    </row>
    <row r="117" spans="1:19" x14ac:dyDescent="0.3">
      <c r="A117" t="s">
        <v>41</v>
      </c>
      <c r="D117" s="1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9" x14ac:dyDescent="0.3">
      <c r="C118" t="s">
        <v>45</v>
      </c>
      <c r="D118" s="1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9" x14ac:dyDescent="0.3">
      <c r="C119" t="s">
        <v>44</v>
      </c>
      <c r="D119" s="1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9" x14ac:dyDescent="0.3">
      <c r="C120" t="s">
        <v>46</v>
      </c>
      <c r="D120" s="1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9" x14ac:dyDescent="0.3">
      <c r="C121" t="s">
        <v>47</v>
      </c>
      <c r="D121" s="1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3"/>
    </row>
    <row r="122" spans="1:19" x14ac:dyDescent="0.3">
      <c r="C122" t="s">
        <v>42</v>
      </c>
      <c r="D122" s="1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9" x14ac:dyDescent="0.3">
      <c r="C123" t="s">
        <v>48</v>
      </c>
      <c r="D123" s="1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9" x14ac:dyDescent="0.3">
      <c r="A124" t="s">
        <v>1</v>
      </c>
    </row>
    <row r="125" spans="1:19" x14ac:dyDescent="0.3">
      <c r="C125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Arnold</dc:creator>
  <cp:lastModifiedBy>Mike Arnold</cp:lastModifiedBy>
  <dcterms:created xsi:type="dcterms:W3CDTF">2016-01-15T00:48:39Z</dcterms:created>
  <dcterms:modified xsi:type="dcterms:W3CDTF">2021-10-21T04:11:28Z</dcterms:modified>
</cp:coreProperties>
</file>