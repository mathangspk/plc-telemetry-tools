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cal\share\io_controller\"/>
    </mc:Choice>
  </mc:AlternateContent>
  <xr:revisionPtr revIDLastSave="0" documentId="13_ncr:1_{48E75282-5CD7-49DE-A7E5-A8E3658CDE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00A" sheetId="1" r:id="rId1"/>
    <sheet name="Proximi.sensor" sheetId="11" r:id="rId2"/>
    <sheet name="EVP" sheetId="10" r:id="rId3"/>
    <sheet name="Sheet1 (2)" sheetId="2" r:id="rId4"/>
    <sheet name="Brake" sheetId="4" r:id="rId5"/>
    <sheet name="MC" sheetId="9" r:id="rId6"/>
    <sheet name="EV1 (resistor)" sheetId="7" r:id="rId7"/>
    <sheet name="EV2 (resistor)" sheetId="3" r:id="rId8"/>
    <sheet name="EV3 (resistor)" sheetId="5" r:id="rId9"/>
    <sheet name="EV2+EV3 (resistor)" sheetId="6" r:id="rId10"/>
    <sheet name="EV4 (resistor)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9" l="1"/>
  <c r="H29" i="9" s="1"/>
  <c r="G28" i="9"/>
  <c r="H28" i="9" s="1"/>
  <c r="G27" i="9"/>
  <c r="H27" i="9" s="1"/>
  <c r="G26" i="9"/>
  <c r="H26" i="9" s="1"/>
  <c r="G25" i="9"/>
  <c r="H25" i="9" s="1"/>
  <c r="F18" i="9"/>
  <c r="G18" i="9" s="1"/>
  <c r="G17" i="9"/>
  <c r="H25" i="4"/>
  <c r="G25" i="4"/>
  <c r="F26" i="4"/>
  <c r="G26" i="4" s="1"/>
  <c r="H26" i="4" s="1"/>
  <c r="F27" i="4"/>
  <c r="G27" i="4" s="1"/>
  <c r="H27" i="4" s="1"/>
  <c r="F28" i="4"/>
  <c r="G28" i="4" s="1"/>
  <c r="H28" i="4" s="1"/>
  <c r="F29" i="4"/>
  <c r="G29" i="4" s="1"/>
  <c r="H29" i="4" s="1"/>
  <c r="F25" i="4"/>
  <c r="F21" i="4"/>
  <c r="G21" i="4" s="1"/>
  <c r="F20" i="4"/>
  <c r="G20" i="4" s="1"/>
  <c r="F19" i="4"/>
  <c r="G19" i="4" s="1"/>
  <c r="G18" i="4"/>
  <c r="G17" i="4"/>
  <c r="F18" i="4"/>
  <c r="N3" i="8"/>
  <c r="O3" i="8" s="1"/>
  <c r="O2" i="8"/>
  <c r="N2" i="8"/>
  <c r="N3" i="7"/>
  <c r="O3" i="7" s="1"/>
  <c r="N2" i="7"/>
  <c r="O2" i="7" s="1"/>
  <c r="U46" i="6"/>
  <c r="U45" i="6"/>
  <c r="U54" i="6"/>
  <c r="U52" i="6"/>
  <c r="U51" i="6"/>
  <c r="U50" i="6"/>
  <c r="U49" i="6"/>
  <c r="U48" i="6"/>
  <c r="U47" i="6"/>
  <c r="U44" i="6"/>
  <c r="U43" i="6"/>
  <c r="M52" i="6"/>
  <c r="M51" i="6"/>
  <c r="M50" i="6"/>
  <c r="M49" i="6"/>
  <c r="M48" i="6"/>
  <c r="M47" i="6"/>
  <c r="M46" i="6"/>
  <c r="M45" i="6"/>
  <c r="M44" i="6"/>
  <c r="M43" i="6"/>
  <c r="E52" i="6"/>
  <c r="E51" i="6"/>
  <c r="E50" i="6"/>
  <c r="E49" i="6"/>
  <c r="E48" i="6"/>
  <c r="E47" i="6"/>
  <c r="E46" i="6"/>
  <c r="E45" i="6"/>
  <c r="E44" i="6"/>
  <c r="E43" i="6"/>
  <c r="M29" i="6"/>
  <c r="M30" i="6"/>
  <c r="M31" i="6"/>
  <c r="E29" i="6"/>
  <c r="E30" i="6"/>
  <c r="E31" i="6"/>
  <c r="U29" i="6"/>
  <c r="M25" i="6"/>
  <c r="M24" i="6"/>
  <c r="M23" i="6"/>
  <c r="M22" i="6"/>
  <c r="M21" i="6"/>
  <c r="M20" i="6"/>
  <c r="M19" i="6"/>
  <c r="M18" i="6"/>
  <c r="M17" i="6"/>
  <c r="M16" i="6"/>
  <c r="E25" i="6"/>
  <c r="E24" i="6"/>
  <c r="E23" i="6"/>
  <c r="E22" i="6"/>
  <c r="E21" i="6"/>
  <c r="E20" i="6"/>
  <c r="E19" i="6"/>
  <c r="E18" i="6"/>
  <c r="E17" i="6"/>
  <c r="E16" i="6"/>
  <c r="M39" i="6"/>
  <c r="M38" i="6"/>
  <c r="M37" i="6"/>
  <c r="M36" i="6"/>
  <c r="M35" i="6"/>
  <c r="M34" i="6"/>
  <c r="M33" i="6"/>
  <c r="M32" i="6"/>
  <c r="M28" i="6"/>
  <c r="E39" i="6"/>
  <c r="E38" i="6"/>
  <c r="E37" i="6"/>
  <c r="E36" i="6"/>
  <c r="E35" i="6"/>
  <c r="E34" i="6"/>
  <c r="E33" i="6"/>
  <c r="E32" i="6"/>
  <c r="E28" i="6"/>
  <c r="U39" i="6"/>
  <c r="U37" i="6"/>
  <c r="U36" i="6"/>
  <c r="U35" i="6"/>
  <c r="U34" i="6"/>
  <c r="U33" i="6"/>
  <c r="U32" i="6"/>
  <c r="U28" i="6"/>
  <c r="U13" i="6"/>
  <c r="U12" i="6"/>
  <c r="U11" i="6"/>
  <c r="U10" i="6"/>
  <c r="U9" i="6"/>
  <c r="U8" i="6"/>
  <c r="U7" i="6"/>
  <c r="U6" i="6"/>
  <c r="U5" i="6"/>
  <c r="U25" i="6"/>
  <c r="U24" i="6"/>
  <c r="U22" i="6"/>
  <c r="U21" i="6"/>
  <c r="U20" i="6"/>
  <c r="U19" i="6"/>
  <c r="U18" i="6"/>
  <c r="U17" i="6"/>
  <c r="U16" i="6"/>
  <c r="E53" i="3"/>
  <c r="E54" i="3"/>
  <c r="E52" i="3"/>
  <c r="E51" i="3"/>
  <c r="E50" i="3"/>
  <c r="O63" i="3"/>
  <c r="O62" i="3"/>
  <c r="O61" i="3"/>
  <c r="O60" i="3"/>
  <c r="O59" i="3"/>
  <c r="O58" i="3"/>
  <c r="O57" i="3"/>
  <c r="O56" i="3"/>
  <c r="O55" i="3"/>
  <c r="E64" i="3"/>
  <c r="E63" i="3"/>
  <c r="E62" i="3"/>
  <c r="E61" i="3"/>
  <c r="E60" i="3"/>
  <c r="E59" i="3"/>
  <c r="E58" i="3"/>
  <c r="E57" i="3"/>
  <c r="E56" i="3"/>
  <c r="E55" i="3"/>
  <c r="E38" i="3"/>
  <c r="E47" i="3"/>
  <c r="E46" i="3"/>
  <c r="E45" i="3"/>
  <c r="E44" i="3"/>
  <c r="E43" i="3"/>
  <c r="E42" i="3"/>
  <c r="E41" i="3"/>
  <c r="E40" i="3"/>
  <c r="E39" i="3"/>
  <c r="O45" i="3"/>
  <c r="O44" i="3"/>
  <c r="O43" i="3"/>
  <c r="O42" i="3"/>
  <c r="O41" i="3"/>
  <c r="O40" i="3"/>
  <c r="O39" i="3"/>
  <c r="O38" i="3"/>
  <c r="O37" i="3"/>
  <c r="E35" i="3"/>
  <c r="E34" i="3"/>
  <c r="E33" i="3"/>
  <c r="E32" i="3"/>
  <c r="E31" i="3"/>
  <c r="E30" i="3"/>
  <c r="E29" i="3"/>
  <c r="E28" i="3"/>
  <c r="E27" i="3"/>
  <c r="E26" i="3"/>
  <c r="E14" i="3"/>
  <c r="E18" i="3"/>
  <c r="E17" i="3"/>
  <c r="E16" i="3"/>
  <c r="E15" i="3"/>
  <c r="E21" i="3"/>
  <c r="M21" i="3"/>
  <c r="O21" i="3" s="1"/>
  <c r="P21" i="3" s="1"/>
  <c r="O23" i="3"/>
  <c r="P23" i="3" s="1"/>
  <c r="O22" i="3"/>
  <c r="P22" i="3" s="1"/>
  <c r="O20" i="3"/>
  <c r="P20" i="3" s="1"/>
  <c r="O19" i="3"/>
  <c r="P19" i="3" s="1"/>
  <c r="O18" i="3"/>
  <c r="P18" i="3" s="1"/>
  <c r="O17" i="3"/>
  <c r="P17" i="3" s="1"/>
  <c r="O16" i="3"/>
  <c r="P16" i="3" s="1"/>
  <c r="O15" i="3"/>
  <c r="P15" i="3" s="1"/>
  <c r="O14" i="3"/>
  <c r="P14" i="3" s="1"/>
  <c r="E22" i="5"/>
  <c r="E21" i="5"/>
  <c r="E20" i="5"/>
  <c r="E19" i="5"/>
  <c r="E18" i="5"/>
  <c r="E17" i="5"/>
  <c r="E16" i="5"/>
  <c r="E15" i="5"/>
  <c r="E14" i="5"/>
  <c r="O11" i="5"/>
  <c r="P11" i="5" s="1"/>
  <c r="O10" i="5"/>
  <c r="P10" i="5" s="1"/>
  <c r="O9" i="5"/>
  <c r="P9" i="5" s="1"/>
  <c r="O8" i="5"/>
  <c r="P8" i="5" s="1"/>
  <c r="O7" i="5"/>
  <c r="P7" i="5" s="1"/>
  <c r="O6" i="5"/>
  <c r="P6" i="5" s="1"/>
  <c r="O5" i="5"/>
  <c r="P5" i="5" s="1"/>
  <c r="O4" i="5"/>
  <c r="P4" i="5" s="1"/>
  <c r="O3" i="5"/>
  <c r="P3" i="5" s="1"/>
  <c r="E19" i="3"/>
  <c r="E20" i="3"/>
  <c r="E22" i="3"/>
  <c r="E23" i="3"/>
  <c r="O27" i="3"/>
  <c r="O28" i="3"/>
  <c r="O29" i="3"/>
  <c r="O30" i="3"/>
  <c r="O31" i="3"/>
  <c r="O32" i="3"/>
  <c r="O33" i="3"/>
  <c r="O34" i="3"/>
  <c r="O26" i="3"/>
</calcChain>
</file>

<file path=xl/sharedStrings.xml><?xml version="1.0" encoding="utf-8"?>
<sst xmlns="http://schemas.openxmlformats.org/spreadsheetml/2006/main" count="797" uniqueCount="286">
  <si>
    <t>Class</t>
  </si>
  <si>
    <t>Digital output</t>
  </si>
  <si>
    <t>Name</t>
  </si>
  <si>
    <t>DO</t>
  </si>
  <si>
    <t>EV</t>
  </si>
  <si>
    <t>EVP</t>
  </si>
  <si>
    <t>MC</t>
  </si>
  <si>
    <t>EB</t>
  </si>
  <si>
    <t>DI</t>
  </si>
  <si>
    <t>AI</t>
  </si>
  <si>
    <t>Outputs</t>
  </si>
  <si>
    <t>Controller parameters</t>
  </si>
  <si>
    <t>Constant at PWM value</t>
  </si>
  <si>
    <t>Variable up to PWM value</t>
  </si>
  <si>
    <t>PWM frequency</t>
  </si>
  <si>
    <t>Single value for all PWM related functions</t>
  </si>
  <si>
    <t>Constant</t>
  </si>
  <si>
    <t>Voltage</t>
  </si>
  <si>
    <t>Current limit</t>
  </si>
  <si>
    <t>List</t>
  </si>
  <si>
    <t>Load types</t>
  </si>
  <si>
    <t>Resistive</t>
  </si>
  <si>
    <t>Inductive/coil</t>
  </si>
  <si>
    <t>Inductive/fan</t>
  </si>
  <si>
    <t>Semiconductor/LED beacon</t>
  </si>
  <si>
    <t>Faults</t>
  </si>
  <si>
    <t>Overload</t>
  </si>
  <si>
    <t>Open circuit</t>
  </si>
  <si>
    <t>Current modulated</t>
  </si>
  <si>
    <t>Voltage modulated</t>
  </si>
  <si>
    <t>Output</t>
  </si>
  <si>
    <t>Pin</t>
  </si>
  <si>
    <t>Return</t>
  </si>
  <si>
    <t>Voltage ratio</t>
  </si>
  <si>
    <t>Current</t>
  </si>
  <si>
    <t>Resistance</t>
  </si>
  <si>
    <t>B_h &gt;&gt; gnd ID_L   (-)</t>
  </si>
  <si>
    <t>B_l &gt;&gt; V+ ID_H (+)</t>
  </si>
  <si>
    <t>Hz</t>
  </si>
  <si>
    <t>Voltage PWM</t>
  </si>
  <si>
    <t>Current PWM</t>
  </si>
  <si>
    <t>B_h &gt;&gt; gnd OD_H (+)</t>
  </si>
  <si>
    <t>B_l &gt;&gt; V+ OD_L   (-)</t>
  </si>
  <si>
    <t>Current feedback</t>
  </si>
  <si>
    <t>voltage feed back</t>
  </si>
  <si>
    <t>H Bridge</t>
  </si>
  <si>
    <t>Wiring return to gnd/V+</t>
  </si>
  <si>
    <t>Terminal block number</t>
  </si>
  <si>
    <t>Relay bank supply and fusing</t>
  </si>
  <si>
    <t>Mapping</t>
  </si>
  <si>
    <t>Signal (voltage, current, etc)</t>
  </si>
  <si>
    <t>Configuration</t>
  </si>
  <si>
    <t>Note</t>
  </si>
  <si>
    <t>Digital Output</t>
  </si>
  <si>
    <t>Brake</t>
  </si>
  <si>
    <t>Contactor</t>
  </si>
  <si>
    <t>PEB</t>
  </si>
  <si>
    <t>NEB</t>
  </si>
  <si>
    <t>Proportional</t>
  </si>
  <si>
    <t>EV2</t>
  </si>
  <si>
    <t>NEVP</t>
  </si>
  <si>
    <t>NLC</t>
  </si>
  <si>
    <t>B-</t>
  </si>
  <si>
    <t>Input</t>
  </si>
  <si>
    <t>Digital input</t>
  </si>
  <si>
    <t>B+</t>
  </si>
  <si>
    <t>Analog input</t>
  </si>
  <si>
    <t>A10</t>
  </si>
  <si>
    <t>BRK POT</t>
  </si>
  <si>
    <t>NPOT</t>
  </si>
  <si>
    <t>A2</t>
  </si>
  <si>
    <t>SEAT</t>
  </si>
  <si>
    <t>BW</t>
  </si>
  <si>
    <t>FW</t>
  </si>
  <si>
    <t>A3</t>
  </si>
  <si>
    <t>ACC POT</t>
  </si>
  <si>
    <t>A1</t>
  </si>
  <si>
    <t>9 (15)</t>
  </si>
  <si>
    <t>PB</t>
  </si>
  <si>
    <t>HB</t>
  </si>
  <si>
    <t>(NO)</t>
  </si>
  <si>
    <t>D6 (NC)</t>
  </si>
  <si>
    <t>(NC)</t>
  </si>
  <si>
    <t>EVP POT</t>
  </si>
  <si>
    <t>AUX1</t>
  </si>
  <si>
    <t>NEV1</t>
  </si>
  <si>
    <t>LOWER</t>
  </si>
  <si>
    <t>AUX2</t>
  </si>
  <si>
    <t>A4</t>
  </si>
  <si>
    <t>Steer POT</t>
  </si>
  <si>
    <t>AUX3</t>
  </si>
  <si>
    <t>SPARE</t>
  </si>
  <si>
    <t>EV1</t>
  </si>
  <si>
    <t>NEV2</t>
  </si>
  <si>
    <t>EV3</t>
  </si>
  <si>
    <t>NEV3</t>
  </si>
  <si>
    <t>NEV4</t>
  </si>
  <si>
    <t>EV4</t>
  </si>
  <si>
    <t>Positive</t>
  </si>
  <si>
    <t>Negative</t>
  </si>
  <si>
    <t>Inrush</t>
  </si>
  <si>
    <t>Holding</t>
  </si>
  <si>
    <t>Any B- reference</t>
  </si>
  <si>
    <t>PPOT/4 5V/12V</t>
  </si>
  <si>
    <t>Item</t>
  </si>
  <si>
    <t>TPDO1.3.1</t>
  </si>
  <si>
    <t>TPDO1.3.0</t>
  </si>
  <si>
    <t>TPDO1.3.3</t>
  </si>
  <si>
    <t>TPDO1.3.4</t>
  </si>
  <si>
    <t>TPDO1.6 8bit</t>
  </si>
  <si>
    <t>TPDO1.3.2</t>
  </si>
  <si>
    <t>TPDO1.4.1</t>
  </si>
  <si>
    <t>TPDO1.4.2</t>
  </si>
  <si>
    <t>TPDO1.4.3</t>
  </si>
  <si>
    <t>TPDO1.4.4</t>
  </si>
  <si>
    <t>RPDO1.3.3</t>
  </si>
  <si>
    <t>MC VOLTAGE</t>
  </si>
  <si>
    <t>MC VOLTAGE RED</t>
  </si>
  <si>
    <t>PDO control byte 0-7 and bit 0-7</t>
  </si>
  <si>
    <t>PDO status byte 0-7 and bit 0-7</t>
  </si>
  <si>
    <t>TPDO1.2.1</t>
  </si>
  <si>
    <t>TPDO1.2.2</t>
  </si>
  <si>
    <t>TPDO1.5 8bit</t>
  </si>
  <si>
    <t>RPDO1.6 8bit</t>
  </si>
  <si>
    <t>RPDO1.2.2</t>
  </si>
  <si>
    <t>RPDO1.2.5</t>
  </si>
  <si>
    <t>RPDO1.2.6</t>
  </si>
  <si>
    <t>RPDO1.2.7</t>
  </si>
  <si>
    <t>RPDO1.3.0</t>
  </si>
  <si>
    <t>TPDO1.2.0</t>
  </si>
  <si>
    <t>TPDO1.4.6</t>
  </si>
  <si>
    <t>TPDO1.2.3</t>
  </si>
  <si>
    <t>TPDO1.2.4</t>
  </si>
  <si>
    <t>TPDO1.2.5</t>
  </si>
  <si>
    <t>TPDO1.2.6</t>
  </si>
  <si>
    <t>TPDO1.2.7</t>
  </si>
  <si>
    <t>EB VOLTAGE</t>
  </si>
  <si>
    <t>EB VOLTAGE RED</t>
  </si>
  <si>
    <t>Supply</t>
  </si>
  <si>
    <t>D6 (NO)</t>
  </si>
  <si>
    <t>PWM EV2</t>
  </si>
  <si>
    <t>PWM EV3</t>
  </si>
  <si>
    <t>EV2 = DIGITAL</t>
  </si>
  <si>
    <t>EV3 = DIGITAL</t>
  </si>
  <si>
    <t>EVP as digital</t>
  </si>
  <si>
    <t>EVP = DIGITAL</t>
  </si>
  <si>
    <t>????</t>
  </si>
  <si>
    <t>?</t>
  </si>
  <si>
    <t>Over current</t>
  </si>
  <si>
    <t>Shorted driver</t>
  </si>
  <si>
    <t>Open driver</t>
  </si>
  <si>
    <t>Open coil</t>
  </si>
  <si>
    <t>x</t>
  </si>
  <si>
    <t>Proportional current controlled output</t>
  </si>
  <si>
    <t>2 (3 peak)</t>
  </si>
  <si>
    <t>1.5 (2 peak)</t>
  </si>
  <si>
    <t>1.5 (peak 1.7)</t>
  </si>
  <si>
    <t>MAIN POT TYPE</t>
  </si>
  <si>
    <t>AUX POT TYPE</t>
  </si>
  <si>
    <t>STEERING TYPE =NONE</t>
  </si>
  <si>
    <t>EVP = ANALOG, MIN EVP, MAX EVP, EVP2 OPEN DELAY, EVP CLOSE DELAY</t>
  </si>
  <si>
    <t>How to ensure control is only by canbus</t>
  </si>
  <si>
    <t>SET POSITIVE PEB = 24V</t>
  </si>
  <si>
    <t>DITHER FREQUENCY</t>
  </si>
  <si>
    <t>DITHER AMPLITUDE</t>
  </si>
  <si>
    <t>D3 (NO)</t>
  </si>
  <si>
    <t>D4 (NC)</t>
  </si>
  <si>
    <t>D10 (NO)</t>
  </si>
  <si>
    <t>D9 (NO)</t>
  </si>
  <si>
    <t>D2(NO)</t>
  </si>
  <si>
    <t>D1 (NO)</t>
  </si>
  <si>
    <t>D0 (NO)</t>
  </si>
  <si>
    <t>D8 AUX3 (NO)</t>
  </si>
  <si>
    <t>D7 AUX2 (NO)</t>
  </si>
  <si>
    <t>D5 AUX1 (NO)</t>
  </si>
  <si>
    <t>Comments</t>
  </si>
  <si>
    <t>Inductive coil</t>
  </si>
  <si>
    <t>Inductive fan</t>
  </si>
  <si>
    <t>SC beacon</t>
  </si>
  <si>
    <t>4-20mA sensor</t>
  </si>
  <si>
    <t>Proximity switch</t>
  </si>
  <si>
    <t>Testing notes</t>
  </si>
  <si>
    <t>Application notes</t>
  </si>
  <si>
    <t>PEB/B+</t>
  </si>
  <si>
    <t>Configuration parameters</t>
  </si>
  <si>
    <t>Resistive load</t>
  </si>
  <si>
    <t>wiring</t>
  </si>
  <si>
    <t>Validate function by measuring voltage/current</t>
  </si>
  <si>
    <t>How to avoid faults</t>
  </si>
  <si>
    <t>Confirm the following - confirm basic understanding of each I/O</t>
  </si>
  <si>
    <t>Continue to other load and sensor types</t>
  </si>
  <si>
    <t>Notes:</t>
  </si>
  <si>
    <t>Start with a safe resistor, ie 100ohm</t>
  </si>
  <si>
    <t>Decrease resistance until you get a fault. Confirm fault detection respects implementation approximations such as PWM - how robust is the controller</t>
  </si>
  <si>
    <t>Check battery currents against baseline if worried about excess power consumption</t>
  </si>
  <si>
    <t>give you insight into controller's battery current approximation</t>
  </si>
  <si>
    <t>Gives you a basic understanding so that you can transition to inductive loads and how to include resistors etc where necessary</t>
  </si>
  <si>
    <t>Resistor</t>
  </si>
  <si>
    <t>Volt</t>
  </si>
  <si>
    <t>PWM</t>
  </si>
  <si>
    <t>Power</t>
  </si>
  <si>
    <t>Column 1</t>
  </si>
  <si>
    <t>Limit</t>
  </si>
  <si>
    <t>Calculate</t>
  </si>
  <si>
    <t>why the resistor hot?</t>
  </si>
  <si>
    <t>Question</t>
  </si>
  <si>
    <t>measure EV2</t>
  </si>
  <si>
    <t>measure EV3</t>
  </si>
  <si>
    <t>Alarm</t>
  </si>
  <si>
    <t>10s</t>
  </si>
  <si>
    <t>ON</t>
  </si>
  <si>
    <t>5s</t>
  </si>
  <si>
    <t>1s</t>
  </si>
  <si>
    <t>After</t>
  </si>
  <si>
    <t>15s</t>
  </si>
  <si>
    <t>CONT.DRV.EV02</t>
  </si>
  <si>
    <t>Condition</t>
  </si>
  <si>
    <t>On EV2 and EV3</t>
  </si>
  <si>
    <t>measure EV2+EV3</t>
  </si>
  <si>
    <t>CONT.DRV.EV03</t>
  </si>
  <si>
    <t xml:space="preserve">CONT.DRV.EV02 AND CONT.DRV.EV03 </t>
  </si>
  <si>
    <t>With load resistor 15 ohm, max current 1.4</t>
  </si>
  <si>
    <t>COIL SHOR. EVAUX</t>
  </si>
  <si>
    <t>Total current alarm is sensitive to PWM voltage, if low then alarm is raised at lower currents than documented max</t>
  </si>
  <si>
    <t>SET PEB = 96VDC</t>
  </si>
  <si>
    <t>With winch config output EB = 66V</t>
  </si>
  <si>
    <t>measure EV1</t>
  </si>
  <si>
    <t>p</t>
  </si>
  <si>
    <t>EV1 = #OPTION 1</t>
  </si>
  <si>
    <t xml:space="preserve">With load resistor 80 ohm, 60 ohm get fault CONT.DRV.EV01 </t>
  </si>
  <si>
    <t>EV4 = DIGITAL</t>
  </si>
  <si>
    <t>CONT.DRV.EV01</t>
  </si>
  <si>
    <t>CONT.DRV.EV04</t>
  </si>
  <si>
    <t>With load resistor 80 ohm, 60 ohm get fault CONT.DRV.EV04</t>
  </si>
  <si>
    <t>PARA</t>
  </si>
  <si>
    <t>SET OPTION</t>
  </si>
  <si>
    <t>EBRAKE ON APPL.=ABSENT</t>
  </si>
  <si>
    <t xml:space="preserve"> COMP.VOLT.OUTPUT = 0</t>
  </si>
  <si>
    <t>AUX OUT FUNCTION=AUXILIARY</t>
  </si>
  <si>
    <t>AUTO PARK BRAKE=OFF,</t>
  </si>
  <si>
    <t>ADJUSTMENT</t>
  </si>
  <si>
    <t>Example</t>
  </si>
  <si>
    <t>first 1s</t>
  </si>
  <si>
    <t>125V</t>
  </si>
  <si>
    <t>after 1s</t>
  </si>
  <si>
    <t>66V</t>
  </si>
  <si>
    <t>EB VOLTAGE RED.</t>
  </si>
  <si>
    <t>measure Break</t>
  </si>
  <si>
    <t>Volt PEB</t>
  </si>
  <si>
    <t>MC FUNCTION = OFF</t>
  </si>
  <si>
    <t>measure MC</t>
  </si>
  <si>
    <t xml:space="preserve">Pull-in (first 1s) và Retention (after 1s)
COMP.VOLT.OUTPUT
0 ÷ 3 This parameter defines the voltage compensation for the MC
and EB drivers in dependence of the battery voltage.
0 = None.
1 = MC only.
2 = EB only.
3 = MC and EB. </t>
  </si>
  <si>
    <t>MC OUTPUT = PRESENT</t>
  </si>
  <si>
    <t>COMP.VOLT.OUTPUT = 1/3</t>
  </si>
  <si>
    <t>M.C. FUNCTION = OFF, MC OUTPUT = PRESENT, COMP.VOLT.OUTPUT = 1 OR 3</t>
  </si>
  <si>
    <t>EBRAKE ON APPL.=ABSENT, AUX OUT FUNCTION=AUXILIARY, AUTO PARK BRAKE=OFF, COMP.VOLT.OUTPUT = 2 OR 3</t>
  </si>
  <si>
    <t>LC Enable, AUX = 2</t>
  </si>
  <si>
    <t>LC Enable, AUX = 1</t>
  </si>
  <si>
    <t>LC Enable, AUX = 3</t>
  </si>
  <si>
    <r>
      <t xml:space="preserve">LC Enable, AUX = 4, How to ensure control is </t>
    </r>
    <r>
      <rPr>
        <b/>
        <u/>
        <sz val="11"/>
        <color rgb="FFFF0000"/>
        <rFont val="Calibri"/>
        <family val="2"/>
        <scheme val="minor"/>
      </rPr>
      <t>only</t>
    </r>
    <r>
      <rPr>
        <sz val="11"/>
        <color rgb="FFFF0000"/>
        <rFont val="Calibri"/>
        <family val="2"/>
        <scheme val="minor"/>
      </rPr>
      <t xml:space="preserve"> by canbus</t>
    </r>
  </si>
  <si>
    <t>EVP TYPE</t>
  </si>
  <si>
    <t>DIGITAL</t>
  </si>
  <si>
    <t>A4-(PPOT +12V)</t>
  </si>
  <si>
    <t>controller</t>
  </si>
  <si>
    <t>CAN wire</t>
  </si>
  <si>
    <t>sensor</t>
  </si>
  <si>
    <t>shield</t>
  </si>
  <si>
    <t>black</t>
  </si>
  <si>
    <t>white</t>
  </si>
  <si>
    <t>A15(NPOT-GND)</t>
  </si>
  <si>
    <t>A2(AUX1)</t>
  </si>
  <si>
    <t>1(+)</t>
  </si>
  <si>
    <t>3(blue)</t>
  </si>
  <si>
    <t>4(BLK)</t>
  </si>
  <si>
    <t>Test with proximity sensor</t>
  </si>
  <si>
    <t>00 --&gt; 10</t>
  </si>
  <si>
    <t>00 --&gt; 20</t>
  </si>
  <si>
    <t>81--&gt;80</t>
  </si>
  <si>
    <t>00--&gt;40</t>
  </si>
  <si>
    <t>15.9v</t>
  </si>
  <si>
    <t>voltage nominal 12v</t>
  </si>
  <si>
    <t>81 --&gt; 89 (hex)</t>
  </si>
  <si>
    <t>81--&gt;91</t>
  </si>
  <si>
    <t>use for speed sensor (12V)</t>
  </si>
  <si>
    <t>PEB=B+</t>
  </si>
  <si>
    <t>PEB=24VDC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</si>
</sst>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ptos"/>
      <family val="2"/>
    </font>
    <font>
      <sz val="11"/>
      <color rgb="FFFF0000"/>
      <name val="Aptos"/>
      <family val="2"/>
    </font>
    <font>
      <sz val="11"/>
      <name val="Aptos"/>
      <family val="2"/>
    </font>
    <font>
      <b/>
      <u/>
      <sz val="11"/>
      <color rgb="FFFF0000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FF0000"/>
      <name val="Roboto"/>
    </font>
    <font>
      <sz val="11"/>
      <color theme="0"/>
      <name val="Calibri"/>
      <family val="2"/>
      <scheme val="minor"/>
    </font>
    <font>
      <sz val="10"/>
      <color theme="0"/>
      <name val="Roboto"/>
    </font>
    <font>
      <sz val="10"/>
      <color theme="0"/>
      <name val="Arial"/>
      <family val="2"/>
    </font>
    <font>
      <b/>
      <sz val="10"/>
      <color rgb="FF434343"/>
      <name val="Roboto"/>
    </font>
    <font>
      <sz val="11"/>
      <name val="Calibri"/>
      <family val="2"/>
      <scheme val="minor"/>
    </font>
    <font>
      <sz val="10"/>
      <name val="Roboto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00FF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/>
      <right/>
      <top/>
      <bottom style="medium">
        <color rgb="FF284E3F"/>
      </bottom>
      <diagonal/>
    </border>
    <border>
      <left style="medium">
        <color rgb="FFCCCCCC"/>
      </left>
      <right style="medium">
        <color rgb="FF00FF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/>
      <diagonal/>
    </border>
    <border>
      <left style="medium">
        <color rgb="FF284E3F"/>
      </left>
      <right/>
      <top/>
      <bottom/>
      <diagonal/>
    </border>
    <border>
      <left style="medium">
        <color rgb="FFCCCCCC"/>
      </left>
      <right style="medium">
        <color rgb="FF284E3F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2">
    <xf numFmtId="0" fontId="0" fillId="0" borderId="0" xfId="0"/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2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0" xfId="0" applyFont="1"/>
    <xf numFmtId="0" fontId="1" fillId="0" borderId="0" xfId="0" applyFont="1"/>
    <xf numFmtId="0" fontId="6" fillId="0" borderId="0" xfId="0" applyFont="1"/>
    <xf numFmtId="16" fontId="0" fillId="0" borderId="0" xfId="0" applyNumberFormat="1"/>
    <xf numFmtId="0" fontId="2" fillId="0" borderId="0" xfId="0" applyFont="1"/>
    <xf numFmtId="0" fontId="1" fillId="0" borderId="0" xfId="0" applyFont="1" applyAlignment="1">
      <alignment wrapText="1"/>
    </xf>
    <xf numFmtId="0" fontId="8" fillId="5" borderId="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horizontal="right" vertical="center" wrapText="1"/>
    </xf>
    <xf numFmtId="0" fontId="9" fillId="7" borderId="5" xfId="0" applyFont="1" applyFill="1" applyBorder="1" applyAlignment="1">
      <alignment horizontal="right" vertical="center" wrapText="1"/>
    </xf>
    <xf numFmtId="0" fontId="9" fillId="6" borderId="6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right" vertical="center" wrapText="1"/>
    </xf>
    <xf numFmtId="0" fontId="9" fillId="6" borderId="8" xfId="0" applyFont="1" applyFill="1" applyBorder="1" applyAlignment="1">
      <alignment vertical="center" wrapText="1"/>
    </xf>
    <xf numFmtId="0" fontId="9" fillId="8" borderId="4" xfId="0" applyFont="1" applyFill="1" applyBorder="1" applyAlignment="1">
      <alignment horizontal="right" vertical="center" wrapText="1"/>
    </xf>
    <xf numFmtId="0" fontId="9" fillId="8" borderId="6" xfId="0" applyFont="1" applyFill="1" applyBorder="1" applyAlignment="1">
      <alignment horizontal="right" vertical="center" wrapText="1"/>
    </xf>
    <xf numFmtId="0" fontId="9" fillId="8" borderId="9" xfId="0" applyFont="1" applyFill="1" applyBorder="1" applyAlignment="1">
      <alignment horizontal="right" vertical="center" wrapText="1"/>
    </xf>
    <xf numFmtId="0" fontId="10" fillId="8" borderId="8" xfId="0" applyFont="1" applyFill="1" applyBorder="1" applyAlignment="1">
      <alignment vertical="center" wrapText="1"/>
    </xf>
    <xf numFmtId="0" fontId="10" fillId="6" borderId="8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horizontal="right" vertical="center" wrapText="1"/>
    </xf>
    <xf numFmtId="0" fontId="8" fillId="5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9" borderId="5" xfId="0" applyFont="1" applyFill="1" applyBorder="1" applyAlignment="1">
      <alignment horizontal="right" vertical="center" wrapText="1"/>
    </xf>
    <xf numFmtId="0" fontId="9" fillId="10" borderId="5" xfId="0" applyFont="1" applyFill="1" applyBorder="1" applyAlignment="1">
      <alignment horizontal="right" vertical="center" wrapText="1"/>
    </xf>
    <xf numFmtId="0" fontId="0" fillId="11" borderId="0" xfId="0" applyFill="1"/>
    <xf numFmtId="0" fontId="9" fillId="8" borderId="13" xfId="0" applyFont="1" applyFill="1" applyBorder="1" applyAlignment="1">
      <alignment horizontal="right" vertical="center" wrapText="1"/>
    </xf>
    <xf numFmtId="0" fontId="9" fillId="9" borderId="13" xfId="0" applyFont="1" applyFill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10" fillId="8" borderId="14" xfId="0" applyFont="1" applyFill="1" applyBorder="1" applyAlignment="1">
      <alignment vertical="center" wrapText="1"/>
    </xf>
    <xf numFmtId="0" fontId="0" fillId="0" borderId="14" xfId="0" applyBorder="1"/>
    <xf numFmtId="0" fontId="10" fillId="6" borderId="14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vertical="center" wrapText="1"/>
    </xf>
    <xf numFmtId="0" fontId="9" fillId="6" borderId="14" xfId="0" applyFont="1" applyFill="1" applyBorder="1" applyAlignment="1">
      <alignment horizontal="right" vertical="center" wrapText="1"/>
    </xf>
    <xf numFmtId="0" fontId="9" fillId="7" borderId="14" xfId="0" applyFont="1" applyFill="1" applyBorder="1" applyAlignment="1">
      <alignment horizontal="right" vertical="center" wrapText="1"/>
    </xf>
    <xf numFmtId="0" fontId="0" fillId="11" borderId="14" xfId="0" applyFill="1" applyBorder="1"/>
    <xf numFmtId="0" fontId="9" fillId="9" borderId="14" xfId="0" applyFont="1" applyFill="1" applyBorder="1" applyAlignment="1">
      <alignment horizontal="right" vertical="center" wrapText="1"/>
    </xf>
    <xf numFmtId="0" fontId="9" fillId="8" borderId="14" xfId="0" applyFont="1" applyFill="1" applyBorder="1" applyAlignment="1">
      <alignment horizontal="right" vertical="center" wrapText="1"/>
    </xf>
    <xf numFmtId="0" fontId="0" fillId="9" borderId="14" xfId="0" applyFill="1" applyBorder="1"/>
    <xf numFmtId="0" fontId="9" fillId="6" borderId="14" xfId="0" applyFont="1" applyFill="1" applyBorder="1" applyAlignment="1">
      <alignment vertical="center" wrapText="1"/>
    </xf>
    <xf numFmtId="0" fontId="9" fillId="10" borderId="14" xfId="0" applyFont="1" applyFill="1" applyBorder="1" applyAlignment="1">
      <alignment horizontal="right" vertical="center" wrapText="1"/>
    </xf>
    <xf numFmtId="0" fontId="8" fillId="5" borderId="16" xfId="0" applyFont="1" applyFill="1" applyBorder="1" applyAlignment="1">
      <alignment vertical="center" wrapText="1"/>
    </xf>
    <xf numFmtId="0" fontId="8" fillId="5" borderId="17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right" vertical="center" wrapText="1"/>
    </xf>
    <xf numFmtId="0" fontId="13" fillId="9" borderId="14" xfId="0" applyFont="1" applyFill="1" applyBorder="1" applyAlignment="1">
      <alignment horizontal="right" vertical="center" wrapText="1"/>
    </xf>
    <xf numFmtId="0" fontId="12" fillId="9" borderId="14" xfId="0" applyFont="1" applyFill="1" applyBorder="1"/>
    <xf numFmtId="0" fontId="13" fillId="0" borderId="14" xfId="0" applyFont="1" applyBorder="1" applyAlignment="1">
      <alignment horizontal="right" vertical="center" wrapText="1"/>
    </xf>
    <xf numFmtId="0" fontId="14" fillId="0" borderId="8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2" fontId="9" fillId="7" borderId="14" xfId="0" applyNumberFormat="1" applyFont="1" applyFill="1" applyBorder="1" applyAlignment="1">
      <alignment horizontal="right" vertical="center" wrapText="1"/>
    </xf>
    <xf numFmtId="2" fontId="0" fillId="0" borderId="0" xfId="0" applyNumberFormat="1"/>
    <xf numFmtId="0" fontId="9" fillId="0" borderId="0" xfId="0" applyFont="1" applyAlignment="1">
      <alignment horizontal="right" vertical="center" wrapText="1"/>
    </xf>
    <xf numFmtId="0" fontId="14" fillId="9" borderId="15" xfId="0" applyFont="1" applyFill="1" applyBorder="1" applyAlignment="1">
      <alignment vertical="center" wrapText="1"/>
    </xf>
    <xf numFmtId="0" fontId="12" fillId="9" borderId="23" xfId="0" applyFont="1" applyFill="1" applyBorder="1"/>
    <xf numFmtId="0" fontId="13" fillId="9" borderId="23" xfId="0" applyFont="1" applyFill="1" applyBorder="1" applyAlignment="1">
      <alignment horizontal="right" vertical="center" wrapText="1"/>
    </xf>
    <xf numFmtId="0" fontId="12" fillId="0" borderId="0" xfId="0" applyFont="1"/>
    <xf numFmtId="0" fontId="9" fillId="6" borderId="24" xfId="0" applyFont="1" applyFill="1" applyBorder="1" applyAlignment="1">
      <alignment horizontal="right" vertical="center" wrapText="1"/>
    </xf>
    <xf numFmtId="0" fontId="9" fillId="9" borderId="24" xfId="0" applyFont="1" applyFill="1" applyBorder="1" applyAlignment="1">
      <alignment horizontal="right" vertical="center" wrapText="1"/>
    </xf>
    <xf numFmtId="0" fontId="0" fillId="9" borderId="24" xfId="0" applyFill="1" applyBorder="1"/>
    <xf numFmtId="0" fontId="10" fillId="6" borderId="24" xfId="0" applyFont="1" applyFill="1" applyBorder="1" applyAlignment="1">
      <alignment vertical="center" wrapText="1"/>
    </xf>
    <xf numFmtId="0" fontId="9" fillId="6" borderId="23" xfId="0" applyFont="1" applyFill="1" applyBorder="1" applyAlignment="1">
      <alignment horizontal="right" vertical="center" wrapText="1"/>
    </xf>
    <xf numFmtId="0" fontId="9" fillId="7" borderId="23" xfId="0" applyFont="1" applyFill="1" applyBorder="1" applyAlignment="1">
      <alignment horizontal="right" vertical="center" wrapText="1"/>
    </xf>
    <xf numFmtId="0" fontId="9" fillId="6" borderId="0" xfId="0" applyFont="1" applyFill="1" applyAlignment="1">
      <alignment vertical="center" wrapText="1"/>
    </xf>
    <xf numFmtId="0" fontId="16" fillId="0" borderId="14" xfId="0" applyFont="1" applyBorder="1"/>
    <xf numFmtId="0" fontId="17" fillId="0" borderId="14" xfId="0" applyFont="1" applyBorder="1" applyAlignment="1">
      <alignment horizontal="right" vertical="center" wrapText="1"/>
    </xf>
    <xf numFmtId="0" fontId="9" fillId="0" borderId="25" xfId="0" applyFont="1" applyBorder="1" applyAlignment="1">
      <alignment horizontal="right" vertical="center" wrapText="1"/>
    </xf>
    <xf numFmtId="0" fontId="17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10" fillId="9" borderId="14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9" borderId="0" xfId="0" applyFill="1"/>
    <xf numFmtId="0" fontId="4" fillId="0" borderId="0" xfId="0" applyFont="1" applyAlignment="1">
      <alignment wrapText="1"/>
    </xf>
    <xf numFmtId="9" fontId="0" fillId="0" borderId="0" xfId="0" applyNumberFormat="1"/>
    <xf numFmtId="0" fontId="8" fillId="5" borderId="26" xfId="0" applyFont="1" applyFill="1" applyBorder="1" applyAlignment="1">
      <alignment vertical="center" wrapText="1"/>
    </xf>
    <xf numFmtId="16" fontId="0" fillId="11" borderId="0" xfId="0" applyNumberFormat="1" applyFill="1"/>
    <xf numFmtId="0" fontId="4" fillId="0" borderId="0" xfId="0" applyFont="1" applyAlignment="1">
      <alignment vertical="center" wrapText="1"/>
    </xf>
    <xf numFmtId="0" fontId="9" fillId="0" borderId="23" xfId="0" applyFont="1" applyBorder="1" applyAlignment="1">
      <alignment horizontal="right" vertical="center" wrapText="1"/>
    </xf>
    <xf numFmtId="0" fontId="10" fillId="0" borderId="23" xfId="0" applyFont="1" applyBorder="1" applyAlignment="1">
      <alignment vertical="center" wrapText="1"/>
    </xf>
    <xf numFmtId="0" fontId="0" fillId="0" borderId="23" xfId="0" applyBorder="1"/>
    <xf numFmtId="0" fontId="9" fillId="6" borderId="0" xfId="0" applyFont="1" applyFill="1" applyAlignment="1">
      <alignment horizontal="right" vertical="center" wrapText="1"/>
    </xf>
    <xf numFmtId="0" fontId="0" fillId="13" borderId="0" xfId="0" applyFill="1"/>
    <xf numFmtId="0" fontId="9" fillId="6" borderId="14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18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15" fillId="12" borderId="20" xfId="0" applyFont="1" applyFill="1" applyBorder="1" applyAlignment="1">
      <alignment horizontal="center" vertical="center" wrapText="1"/>
    </xf>
  </cellXfs>
  <cellStyles count="2">
    <cellStyle name="Normal" xfId="0" builtinId="0"/>
    <cellStyle name="Normale 2" xfId="1" xr:uid="{E152AAF4-BF4F-4C1A-AE65-FF42F9A32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6"/>
  <sheetViews>
    <sheetView tabSelected="1" zoomScale="85" zoomScaleNormal="85" workbookViewId="0">
      <selection activeCell="E32" sqref="E32"/>
    </sheetView>
  </sheetViews>
  <sheetFormatPr defaultRowHeight="15" x14ac:dyDescent="0.25"/>
  <cols>
    <col min="1" max="4" width="3.85546875" customWidth="1"/>
    <col min="5" max="5" width="17.5703125" customWidth="1"/>
    <col min="6" max="6" width="2.42578125" customWidth="1"/>
    <col min="7" max="8" width="20.7109375" customWidth="1"/>
    <col min="9" max="9" width="2.42578125" customWidth="1"/>
    <col min="14" max="14" width="12.5703125" customWidth="1"/>
    <col min="16" max="18" width="17.42578125" customWidth="1"/>
    <col min="19" max="19" width="2.42578125" customWidth="1"/>
    <col min="20" max="23" width="8.7109375" customWidth="1"/>
    <col min="24" max="24" width="2.42578125" customWidth="1"/>
    <col min="25" max="30" width="9.42578125" customWidth="1"/>
    <col min="31" max="31" width="38.42578125" customWidth="1"/>
    <col min="32" max="32" width="40.28515625" style="7" customWidth="1"/>
    <col min="33" max="33" width="2.42578125" customWidth="1"/>
    <col min="34" max="34" width="48.140625" customWidth="1"/>
    <col min="35" max="35" width="63.85546875" customWidth="1"/>
  </cols>
  <sheetData>
    <row r="1" spans="1:35" ht="30" x14ac:dyDescent="0.25">
      <c r="A1" s="4" t="s">
        <v>104</v>
      </c>
      <c r="B1" s="4"/>
      <c r="C1" s="4"/>
      <c r="D1" s="4"/>
      <c r="E1" s="4"/>
      <c r="F1" s="12"/>
      <c r="G1" s="1" t="s">
        <v>118</v>
      </c>
      <c r="H1" s="1" t="s">
        <v>119</v>
      </c>
      <c r="I1" s="12"/>
      <c r="J1" s="1" t="s">
        <v>98</v>
      </c>
      <c r="K1" s="1" t="s">
        <v>31</v>
      </c>
      <c r="L1" s="1" t="s">
        <v>99</v>
      </c>
      <c r="M1" s="1" t="s">
        <v>31</v>
      </c>
      <c r="N1" s="1" t="s">
        <v>18</v>
      </c>
      <c r="O1" s="1" t="s">
        <v>138</v>
      </c>
      <c r="P1" s="1" t="s">
        <v>17</v>
      </c>
      <c r="Q1" s="1" t="s">
        <v>100</v>
      </c>
      <c r="R1" s="1" t="s">
        <v>101</v>
      </c>
      <c r="S1" s="12"/>
      <c r="T1" s="1" t="s">
        <v>148</v>
      </c>
      <c r="U1" s="1" t="s">
        <v>149</v>
      </c>
      <c r="V1" s="1" t="s">
        <v>150</v>
      </c>
      <c r="W1" s="1" t="s">
        <v>151</v>
      </c>
      <c r="Y1" s="1" t="s">
        <v>21</v>
      </c>
      <c r="Z1" s="1" t="s">
        <v>176</v>
      </c>
      <c r="AA1" s="1" t="s">
        <v>177</v>
      </c>
      <c r="AB1" s="1" t="s">
        <v>178</v>
      </c>
      <c r="AC1" s="1" t="s">
        <v>180</v>
      </c>
      <c r="AD1" s="1" t="s">
        <v>179</v>
      </c>
      <c r="AE1" s="1" t="s">
        <v>182</v>
      </c>
      <c r="AF1" s="1" t="s">
        <v>181</v>
      </c>
      <c r="AH1" s="1" t="s">
        <v>184</v>
      </c>
      <c r="AI1" s="1" t="s">
        <v>175</v>
      </c>
    </row>
    <row r="2" spans="1:35" x14ac:dyDescent="0.25">
      <c r="A2" t="s">
        <v>30</v>
      </c>
      <c r="AH2" t="s">
        <v>224</v>
      </c>
    </row>
    <row r="3" spans="1:35" x14ac:dyDescent="0.25">
      <c r="B3" t="s">
        <v>1</v>
      </c>
    </row>
    <row r="4" spans="1:35" x14ac:dyDescent="0.25">
      <c r="C4" t="s">
        <v>54</v>
      </c>
      <c r="G4" s="33" t="s">
        <v>124</v>
      </c>
      <c r="H4" s="33" t="s">
        <v>120</v>
      </c>
      <c r="J4" s="33" t="s">
        <v>56</v>
      </c>
      <c r="K4" s="33">
        <v>27</v>
      </c>
      <c r="L4" s="33" t="s">
        <v>57</v>
      </c>
      <c r="M4" s="33">
        <v>28</v>
      </c>
      <c r="N4" s="84" t="s">
        <v>154</v>
      </c>
      <c r="P4" s="5" t="s">
        <v>136</v>
      </c>
      <c r="Q4" s="5" t="s">
        <v>136</v>
      </c>
      <c r="R4" s="5" t="s">
        <v>137</v>
      </c>
      <c r="T4" s="33" t="s">
        <v>152</v>
      </c>
      <c r="U4" s="33" t="s">
        <v>152</v>
      </c>
      <c r="V4" s="33" t="s">
        <v>152</v>
      </c>
      <c r="W4" s="33" t="s">
        <v>152</v>
      </c>
    </row>
    <row r="5" spans="1:35" ht="18.75" customHeight="1" x14ac:dyDescent="0.25">
      <c r="D5" t="s">
        <v>284</v>
      </c>
      <c r="Y5" s="33" t="s">
        <v>152</v>
      </c>
      <c r="Z5" s="33" t="s">
        <v>152</v>
      </c>
      <c r="AA5">
        <v>0</v>
      </c>
      <c r="AB5">
        <v>0</v>
      </c>
      <c r="AF5" s="7" t="s">
        <v>225</v>
      </c>
      <c r="AH5" s="81" t="s">
        <v>255</v>
      </c>
      <c r="AI5" s="7" t="s">
        <v>251</v>
      </c>
    </row>
    <row r="6" spans="1:35" x14ac:dyDescent="0.25">
      <c r="D6" t="s">
        <v>285</v>
      </c>
      <c r="N6" s="11" t="s">
        <v>147</v>
      </c>
      <c r="P6" s="5"/>
      <c r="Q6" s="5"/>
      <c r="R6" s="5"/>
      <c r="Y6" s="33" t="s">
        <v>152</v>
      </c>
      <c r="Z6" s="33" t="s">
        <v>152</v>
      </c>
      <c r="AA6" s="33" t="s">
        <v>152</v>
      </c>
      <c r="AB6">
        <v>0</v>
      </c>
      <c r="AH6" s="5"/>
    </row>
    <row r="7" spans="1:35" ht="16.5" customHeight="1" x14ac:dyDescent="0.25">
      <c r="C7" t="s">
        <v>4</v>
      </c>
      <c r="N7" s="9">
        <v>3</v>
      </c>
      <c r="X7" s="6"/>
      <c r="AF7" s="7" t="s">
        <v>223</v>
      </c>
      <c r="AG7" s="6"/>
    </row>
    <row r="8" spans="1:35" ht="14.25" customHeight="1" x14ac:dyDescent="0.25">
      <c r="D8" t="s">
        <v>92</v>
      </c>
      <c r="G8" s="33" t="s">
        <v>125</v>
      </c>
      <c r="H8" s="33" t="s">
        <v>111</v>
      </c>
      <c r="J8" s="33" t="s">
        <v>56</v>
      </c>
      <c r="K8" s="33">
        <v>27</v>
      </c>
      <c r="L8" s="33" t="s">
        <v>85</v>
      </c>
      <c r="M8" s="33">
        <v>24</v>
      </c>
      <c r="N8" s="33" t="s">
        <v>155</v>
      </c>
      <c r="P8" s="8" t="s">
        <v>183</v>
      </c>
      <c r="U8" s="33" t="s">
        <v>152</v>
      </c>
      <c r="Y8" s="33" t="s">
        <v>152</v>
      </c>
      <c r="AF8" s="7" t="s">
        <v>229</v>
      </c>
      <c r="AH8" t="s">
        <v>228</v>
      </c>
      <c r="AI8" s="9" t="s">
        <v>257</v>
      </c>
    </row>
    <row r="9" spans="1:35" x14ac:dyDescent="0.25">
      <c r="D9" t="s">
        <v>59</v>
      </c>
      <c r="G9" s="33" t="s">
        <v>126</v>
      </c>
      <c r="H9" s="33" t="s">
        <v>112</v>
      </c>
      <c r="J9" s="33" t="s">
        <v>56</v>
      </c>
      <c r="K9" s="33">
        <v>27</v>
      </c>
      <c r="L9" s="33" t="s">
        <v>93</v>
      </c>
      <c r="M9" s="33">
        <v>25</v>
      </c>
      <c r="N9" s="33" t="s">
        <v>155</v>
      </c>
      <c r="P9" s="5" t="s">
        <v>140</v>
      </c>
      <c r="U9" s="33" t="s">
        <v>152</v>
      </c>
      <c r="Y9" s="33" t="s">
        <v>152</v>
      </c>
      <c r="Z9" s="33" t="s">
        <v>152</v>
      </c>
      <c r="AF9" s="7" t="s">
        <v>221</v>
      </c>
      <c r="AH9" t="s">
        <v>142</v>
      </c>
      <c r="AI9" s="9" t="s">
        <v>256</v>
      </c>
    </row>
    <row r="10" spans="1:35" x14ac:dyDescent="0.25">
      <c r="D10" t="s">
        <v>94</v>
      </c>
      <c r="G10" s="33" t="s">
        <v>127</v>
      </c>
      <c r="H10" s="33" t="s">
        <v>113</v>
      </c>
      <c r="J10" s="33" t="s">
        <v>56</v>
      </c>
      <c r="K10" s="33">
        <v>27</v>
      </c>
      <c r="L10" s="33" t="s">
        <v>95</v>
      </c>
      <c r="M10" s="33">
        <v>34</v>
      </c>
      <c r="N10" s="33" t="s">
        <v>155</v>
      </c>
      <c r="P10" s="5" t="s">
        <v>141</v>
      </c>
      <c r="U10" s="33" t="s">
        <v>152</v>
      </c>
      <c r="Y10" s="33" t="s">
        <v>152</v>
      </c>
      <c r="Z10" s="33" t="s">
        <v>152</v>
      </c>
      <c r="AF10" s="7" t="s">
        <v>221</v>
      </c>
      <c r="AH10" t="s">
        <v>143</v>
      </c>
      <c r="AI10" s="9" t="s">
        <v>258</v>
      </c>
    </row>
    <row r="11" spans="1:35" ht="15.75" customHeight="1" x14ac:dyDescent="0.25">
      <c r="D11" t="s">
        <v>97</v>
      </c>
      <c r="G11" s="33" t="s">
        <v>128</v>
      </c>
      <c r="H11" s="33" t="s">
        <v>114</v>
      </c>
      <c r="J11" s="33" t="s">
        <v>56</v>
      </c>
      <c r="K11" s="33">
        <v>27</v>
      </c>
      <c r="L11" s="33" t="s">
        <v>96</v>
      </c>
      <c r="M11" s="33">
        <v>35</v>
      </c>
      <c r="N11" s="33" t="s">
        <v>155</v>
      </c>
      <c r="P11" s="8" t="s">
        <v>183</v>
      </c>
      <c r="Y11" s="33" t="s">
        <v>152</v>
      </c>
      <c r="AF11" s="7" t="s">
        <v>233</v>
      </c>
      <c r="AH11" t="s">
        <v>230</v>
      </c>
      <c r="AI11" s="9" t="s">
        <v>259</v>
      </c>
    </row>
    <row r="12" spans="1:35" x14ac:dyDescent="0.25">
      <c r="P12" s="10"/>
    </row>
    <row r="13" spans="1:35" ht="18.75" customHeight="1" x14ac:dyDescent="0.25">
      <c r="C13" t="s">
        <v>55</v>
      </c>
      <c r="G13" s="33" t="s">
        <v>115</v>
      </c>
      <c r="H13" s="33" t="s">
        <v>129</v>
      </c>
      <c r="J13" s="33" t="s">
        <v>65</v>
      </c>
      <c r="L13" s="33" t="s">
        <v>61</v>
      </c>
      <c r="M13" s="33">
        <v>26</v>
      </c>
      <c r="N13" s="33" t="s">
        <v>155</v>
      </c>
      <c r="P13" t="s">
        <v>116</v>
      </c>
      <c r="Q13" t="s">
        <v>116</v>
      </c>
      <c r="R13" t="s">
        <v>117</v>
      </c>
      <c r="T13" s="33" t="s">
        <v>152</v>
      </c>
      <c r="U13" s="33" t="s">
        <v>152</v>
      </c>
      <c r="V13" s="33" t="s">
        <v>152</v>
      </c>
      <c r="W13" s="33" t="s">
        <v>152</v>
      </c>
      <c r="Y13" s="33" t="s">
        <v>152</v>
      </c>
      <c r="Z13" s="33" t="s">
        <v>152</v>
      </c>
      <c r="AH13" s="85" t="s">
        <v>254</v>
      </c>
      <c r="AI13" s="7" t="s">
        <v>251</v>
      </c>
    </row>
    <row r="14" spans="1:35" x14ac:dyDescent="0.25">
      <c r="C14" t="s">
        <v>144</v>
      </c>
      <c r="G14" s="9" t="s">
        <v>123</v>
      </c>
      <c r="H14" t="s">
        <v>130</v>
      </c>
      <c r="J14" t="s">
        <v>56</v>
      </c>
      <c r="K14">
        <v>27</v>
      </c>
      <c r="L14" t="s">
        <v>60</v>
      </c>
      <c r="M14">
        <v>29</v>
      </c>
      <c r="N14">
        <v>1.7</v>
      </c>
      <c r="P14" s="9" t="s">
        <v>146</v>
      </c>
      <c r="AH14" s="6" t="s">
        <v>145</v>
      </c>
      <c r="AI14" s="9" t="s">
        <v>161</v>
      </c>
    </row>
    <row r="16" spans="1:35" x14ac:dyDescent="0.25">
      <c r="B16" t="s">
        <v>153</v>
      </c>
    </row>
    <row r="17" spans="1:35" x14ac:dyDescent="0.25">
      <c r="C17" t="s">
        <v>5</v>
      </c>
      <c r="G17" t="s">
        <v>123</v>
      </c>
      <c r="H17" t="s">
        <v>130</v>
      </c>
      <c r="J17" t="s">
        <v>56</v>
      </c>
      <c r="K17">
        <v>27</v>
      </c>
      <c r="L17" t="s">
        <v>60</v>
      </c>
      <c r="M17">
        <v>29</v>
      </c>
      <c r="N17" t="s">
        <v>156</v>
      </c>
      <c r="P17" s="8" t="s">
        <v>183</v>
      </c>
      <c r="T17" t="s">
        <v>152</v>
      </c>
      <c r="U17" t="s">
        <v>152</v>
      </c>
      <c r="V17" t="s">
        <v>152</v>
      </c>
      <c r="W17" t="s">
        <v>152</v>
      </c>
      <c r="AH17" t="s">
        <v>160</v>
      </c>
      <c r="AI17" s="9" t="s">
        <v>161</v>
      </c>
    </row>
    <row r="19" spans="1:35" x14ac:dyDescent="0.25">
      <c r="A19" t="s">
        <v>63</v>
      </c>
    </row>
    <row r="20" spans="1:35" x14ac:dyDescent="0.25">
      <c r="B20" t="s">
        <v>64</v>
      </c>
    </row>
    <row r="21" spans="1:35" x14ac:dyDescent="0.25">
      <c r="C21" s="90" t="s">
        <v>174</v>
      </c>
      <c r="H21" s="90" t="s">
        <v>135</v>
      </c>
      <c r="J21" s="90" t="s">
        <v>65</v>
      </c>
      <c r="L21" t="s">
        <v>84</v>
      </c>
      <c r="M21" s="90">
        <v>2</v>
      </c>
      <c r="P21" s="90" t="s">
        <v>65</v>
      </c>
      <c r="AF21" s="7" t="s">
        <v>274</v>
      </c>
    </row>
    <row r="22" spans="1:35" x14ac:dyDescent="0.25">
      <c r="C22" s="33" t="s">
        <v>173</v>
      </c>
      <c r="H22" s="33" t="s">
        <v>105</v>
      </c>
      <c r="J22" s="90" t="s">
        <v>65</v>
      </c>
      <c r="L22" t="s">
        <v>87</v>
      </c>
      <c r="M22" s="33">
        <v>12</v>
      </c>
      <c r="P22" s="90" t="s">
        <v>65</v>
      </c>
      <c r="AF22" s="7" t="s">
        <v>274</v>
      </c>
    </row>
    <row r="23" spans="1:35" x14ac:dyDescent="0.25">
      <c r="C23" s="33" t="s">
        <v>172</v>
      </c>
      <c r="H23" s="33" t="s">
        <v>110</v>
      </c>
      <c r="J23" s="90" t="s">
        <v>65</v>
      </c>
      <c r="L23" t="s">
        <v>90</v>
      </c>
      <c r="M23" s="33">
        <v>14</v>
      </c>
      <c r="P23" s="90" t="s">
        <v>65</v>
      </c>
      <c r="AF23" s="7" t="s">
        <v>274</v>
      </c>
    </row>
    <row r="24" spans="1:35" x14ac:dyDescent="0.25">
      <c r="C24" s="33" t="s">
        <v>171</v>
      </c>
      <c r="G24" s="90" t="s">
        <v>133</v>
      </c>
      <c r="H24" s="80" t="s">
        <v>121</v>
      </c>
      <c r="J24" s="90" t="s">
        <v>65</v>
      </c>
      <c r="L24" t="s">
        <v>73</v>
      </c>
      <c r="M24" s="33">
        <v>6</v>
      </c>
      <c r="P24" s="90" t="s">
        <v>65</v>
      </c>
      <c r="Q24" t="s">
        <v>276</v>
      </c>
    </row>
    <row r="25" spans="1:35" x14ac:dyDescent="0.25">
      <c r="C25" t="s">
        <v>170</v>
      </c>
      <c r="H25" t="s">
        <v>131</v>
      </c>
      <c r="J25" s="90" t="s">
        <v>65</v>
      </c>
      <c r="L25" t="s">
        <v>72</v>
      </c>
      <c r="M25">
        <v>7</v>
      </c>
      <c r="P25" s="90" t="s">
        <v>65</v>
      </c>
    </row>
    <row r="26" spans="1:35" x14ac:dyDescent="0.25">
      <c r="C26" s="33" t="s">
        <v>169</v>
      </c>
      <c r="H26" s="90" t="s">
        <v>132</v>
      </c>
      <c r="J26" s="90" t="s">
        <v>65</v>
      </c>
      <c r="L26" t="s">
        <v>78</v>
      </c>
      <c r="M26" s="33">
        <v>17</v>
      </c>
      <c r="P26" s="90" t="s">
        <v>65</v>
      </c>
      <c r="Q26" t="s">
        <v>275</v>
      </c>
    </row>
    <row r="27" spans="1:35" x14ac:dyDescent="0.25">
      <c r="C27" t="s">
        <v>168</v>
      </c>
      <c r="H27" s="90" t="s">
        <v>107</v>
      </c>
      <c r="J27" s="90" t="s">
        <v>65</v>
      </c>
      <c r="L27" t="s">
        <v>91</v>
      </c>
      <c r="M27" s="90">
        <v>22</v>
      </c>
      <c r="P27" s="90" t="s">
        <v>65</v>
      </c>
      <c r="Q27" t="s">
        <v>281</v>
      </c>
    </row>
    <row r="28" spans="1:35" x14ac:dyDescent="0.25">
      <c r="C28" t="s">
        <v>167</v>
      </c>
      <c r="H28" s="90" t="s">
        <v>108</v>
      </c>
      <c r="J28" s="90" t="s">
        <v>65</v>
      </c>
      <c r="L28" t="s">
        <v>91</v>
      </c>
      <c r="M28" s="90">
        <v>23</v>
      </c>
      <c r="P28" s="90" t="s">
        <v>65</v>
      </c>
      <c r="Q28" t="s">
        <v>282</v>
      </c>
    </row>
    <row r="29" spans="1:35" x14ac:dyDescent="0.25">
      <c r="C29" t="s">
        <v>165</v>
      </c>
      <c r="H29" t="s">
        <v>133</v>
      </c>
      <c r="J29" t="s">
        <v>71</v>
      </c>
      <c r="K29">
        <v>8</v>
      </c>
      <c r="L29" t="s">
        <v>62</v>
      </c>
      <c r="P29" t="s">
        <v>102</v>
      </c>
      <c r="AF29" t="s">
        <v>283</v>
      </c>
    </row>
    <row r="30" spans="1:35" x14ac:dyDescent="0.25">
      <c r="C30" t="s">
        <v>139</v>
      </c>
      <c r="H30" s="90" t="s">
        <v>106</v>
      </c>
      <c r="J30" t="s">
        <v>86</v>
      </c>
      <c r="K30" s="90">
        <v>11</v>
      </c>
      <c r="L30" s="90" t="s">
        <v>62</v>
      </c>
      <c r="P30" s="90" t="s">
        <v>102</v>
      </c>
      <c r="Q30" t="s">
        <v>277</v>
      </c>
      <c r="AF30" t="s">
        <v>280</v>
      </c>
    </row>
    <row r="31" spans="1:35" x14ac:dyDescent="0.25">
      <c r="C31" t="s">
        <v>166</v>
      </c>
      <c r="H31" s="90" t="s">
        <v>134</v>
      </c>
      <c r="J31" t="s">
        <v>79</v>
      </c>
      <c r="K31" s="90">
        <v>19</v>
      </c>
      <c r="L31" s="90" t="s">
        <v>62</v>
      </c>
      <c r="P31" s="90" t="s">
        <v>102</v>
      </c>
      <c r="Q31" t="s">
        <v>278</v>
      </c>
      <c r="AF31" t="s">
        <v>279</v>
      </c>
    </row>
    <row r="33" spans="1:34" x14ac:dyDescent="0.25">
      <c r="B33" t="s">
        <v>66</v>
      </c>
      <c r="N33">
        <v>0.2</v>
      </c>
    </row>
    <row r="34" spans="1:34" x14ac:dyDescent="0.25">
      <c r="C34" t="s">
        <v>76</v>
      </c>
      <c r="H34" t="s">
        <v>122</v>
      </c>
      <c r="J34" t="s">
        <v>75</v>
      </c>
      <c r="K34">
        <v>5</v>
      </c>
      <c r="L34" t="s">
        <v>69</v>
      </c>
      <c r="M34">
        <v>15</v>
      </c>
      <c r="N34">
        <v>0.03</v>
      </c>
      <c r="O34" t="s">
        <v>103</v>
      </c>
      <c r="AH34" s="9" t="s">
        <v>157</v>
      </c>
    </row>
    <row r="35" spans="1:34" x14ac:dyDescent="0.25">
      <c r="C35" t="s">
        <v>70</v>
      </c>
      <c r="H35" t="s">
        <v>109</v>
      </c>
      <c r="J35" t="s">
        <v>68</v>
      </c>
      <c r="K35">
        <v>16</v>
      </c>
      <c r="L35" t="s">
        <v>69</v>
      </c>
      <c r="M35">
        <v>15</v>
      </c>
      <c r="N35">
        <v>0.03</v>
      </c>
      <c r="O35" t="s">
        <v>103</v>
      </c>
      <c r="AH35" s="9" t="s">
        <v>158</v>
      </c>
    </row>
    <row r="36" spans="1:34" x14ac:dyDescent="0.25">
      <c r="C36" t="s">
        <v>74</v>
      </c>
      <c r="F36" s="9"/>
      <c r="H36" s="9" t="s">
        <v>147</v>
      </c>
      <c r="I36" s="9"/>
      <c r="J36" t="s">
        <v>83</v>
      </c>
      <c r="K36">
        <v>1</v>
      </c>
      <c r="L36" t="s">
        <v>69</v>
      </c>
      <c r="M36">
        <v>15</v>
      </c>
      <c r="N36">
        <v>0.03</v>
      </c>
      <c r="O36" t="s">
        <v>103</v>
      </c>
      <c r="S36" s="9"/>
      <c r="Y36" s="9"/>
      <c r="Z36" s="9"/>
      <c r="AA36" s="9"/>
      <c r="AB36" s="9"/>
      <c r="AC36" s="9"/>
      <c r="AD36" s="9"/>
      <c r="AE36" s="9"/>
      <c r="AF36" s="13"/>
    </row>
    <row r="37" spans="1:34" x14ac:dyDescent="0.25">
      <c r="C37" t="s">
        <v>88</v>
      </c>
      <c r="F37" s="9"/>
      <c r="H37" s="9" t="s">
        <v>147</v>
      </c>
      <c r="I37" s="9"/>
      <c r="J37" t="s">
        <v>89</v>
      </c>
      <c r="K37">
        <v>13</v>
      </c>
      <c r="L37" t="s">
        <v>69</v>
      </c>
      <c r="M37">
        <v>15</v>
      </c>
      <c r="N37">
        <v>0.03</v>
      </c>
      <c r="O37" t="s">
        <v>103</v>
      </c>
      <c r="S37" s="9"/>
      <c r="Y37" s="9"/>
      <c r="Z37" s="9"/>
      <c r="AA37" s="9"/>
      <c r="AB37" s="9"/>
      <c r="AC37" s="9"/>
      <c r="AD37" s="9"/>
      <c r="AE37" s="9"/>
      <c r="AF37" s="13"/>
    </row>
    <row r="42" spans="1:34" x14ac:dyDescent="0.25">
      <c r="A42" t="s">
        <v>185</v>
      </c>
    </row>
    <row r="43" spans="1:34" x14ac:dyDescent="0.25">
      <c r="B43" t="s">
        <v>189</v>
      </c>
    </row>
    <row r="44" spans="1:34" x14ac:dyDescent="0.25">
      <c r="C44" t="s">
        <v>51</v>
      </c>
    </row>
    <row r="45" spans="1:34" x14ac:dyDescent="0.25">
      <c r="C45" t="s">
        <v>186</v>
      </c>
    </row>
    <row r="46" spans="1:34" x14ac:dyDescent="0.25">
      <c r="C46" t="s">
        <v>187</v>
      </c>
    </row>
    <row r="47" spans="1:34" x14ac:dyDescent="0.25">
      <c r="C47" t="s">
        <v>188</v>
      </c>
    </row>
    <row r="48" spans="1:34" x14ac:dyDescent="0.25">
      <c r="B48" t="s">
        <v>190</v>
      </c>
    </row>
    <row r="50" spans="1:63" x14ac:dyDescent="0.25">
      <c r="A50" t="s">
        <v>191</v>
      </c>
    </row>
    <row r="51" spans="1:63" x14ac:dyDescent="0.25">
      <c r="B51" t="s">
        <v>192</v>
      </c>
      <c r="AG51" t="s">
        <v>8</v>
      </c>
      <c r="AH51" t="s">
        <v>9</v>
      </c>
      <c r="AJ51" t="s">
        <v>31</v>
      </c>
      <c r="AK51" t="s">
        <v>32</v>
      </c>
    </row>
    <row r="52" spans="1:63" x14ac:dyDescent="0.25">
      <c r="B52" t="s">
        <v>193</v>
      </c>
    </row>
    <row r="53" spans="1:63" x14ac:dyDescent="0.25">
      <c r="B53" t="s">
        <v>194</v>
      </c>
    </row>
    <row r="54" spans="1:63" x14ac:dyDescent="0.25">
      <c r="C54" t="s">
        <v>195</v>
      </c>
    </row>
    <row r="55" spans="1:63" x14ac:dyDescent="0.25">
      <c r="B55" t="s">
        <v>196</v>
      </c>
    </row>
    <row r="58" spans="1:63" ht="75" x14ac:dyDescent="0.25">
      <c r="AL58" s="1"/>
      <c r="AM58" s="1"/>
      <c r="AN58" s="1"/>
      <c r="AO58" s="2" t="s">
        <v>17</v>
      </c>
      <c r="AP58" s="2" t="s">
        <v>33</v>
      </c>
      <c r="AQ58" s="2" t="s">
        <v>34</v>
      </c>
      <c r="AR58" s="2" t="s">
        <v>35</v>
      </c>
      <c r="AS58" s="2" t="s">
        <v>36</v>
      </c>
      <c r="AT58" s="2" t="s">
        <v>37</v>
      </c>
      <c r="AU58" s="2" t="s">
        <v>38</v>
      </c>
      <c r="AV58" s="3" t="s">
        <v>39</v>
      </c>
      <c r="AW58" s="3" t="s">
        <v>40</v>
      </c>
      <c r="AX58" s="3" t="s">
        <v>41</v>
      </c>
      <c r="AY58" s="3" t="s">
        <v>42</v>
      </c>
      <c r="AZ58" s="3" t="s">
        <v>43</v>
      </c>
      <c r="BA58" s="3" t="s">
        <v>44</v>
      </c>
      <c r="BB58" s="3" t="s">
        <v>45</v>
      </c>
      <c r="BC58" s="3" t="s">
        <v>18</v>
      </c>
      <c r="BD58" s="1" t="s">
        <v>46</v>
      </c>
      <c r="BE58" s="1" t="s">
        <v>47</v>
      </c>
      <c r="BF58" s="1" t="s">
        <v>48</v>
      </c>
      <c r="BG58" s="1" t="s">
        <v>49</v>
      </c>
      <c r="BH58" s="1" t="s">
        <v>34</v>
      </c>
      <c r="BI58" s="1" t="s">
        <v>50</v>
      </c>
      <c r="BJ58" s="1" t="s">
        <v>51</v>
      </c>
      <c r="BK58" s="1" t="s">
        <v>52</v>
      </c>
    </row>
    <row r="60" spans="1:63" x14ac:dyDescent="0.25">
      <c r="P60" t="s">
        <v>163</v>
      </c>
    </row>
    <row r="61" spans="1:63" x14ac:dyDescent="0.25">
      <c r="P61" t="s">
        <v>164</v>
      </c>
    </row>
    <row r="62" spans="1:63" x14ac:dyDescent="0.25">
      <c r="P62" t="s">
        <v>159</v>
      </c>
    </row>
    <row r="63" spans="1:63" x14ac:dyDescent="0.25">
      <c r="P63" t="s">
        <v>162</v>
      </c>
    </row>
    <row r="69" spans="1:17" x14ac:dyDescent="0.25">
      <c r="A69" t="s">
        <v>10</v>
      </c>
    </row>
    <row r="70" spans="1:17" x14ac:dyDescent="0.25">
      <c r="B70" t="s">
        <v>3</v>
      </c>
      <c r="G70" t="s">
        <v>12</v>
      </c>
      <c r="L70" t="s">
        <v>12</v>
      </c>
      <c r="M70" t="s">
        <v>13</v>
      </c>
      <c r="Q70" t="s">
        <v>16</v>
      </c>
    </row>
    <row r="71" spans="1:17" x14ac:dyDescent="0.25">
      <c r="C71" t="s">
        <v>19</v>
      </c>
    </row>
    <row r="72" spans="1:17" x14ac:dyDescent="0.25">
      <c r="D72" t="s">
        <v>30</v>
      </c>
    </row>
    <row r="73" spans="1:17" x14ac:dyDescent="0.25">
      <c r="D73" t="s">
        <v>31</v>
      </c>
    </row>
    <row r="74" spans="1:17" x14ac:dyDescent="0.25">
      <c r="C74" t="s">
        <v>17</v>
      </c>
    </row>
    <row r="75" spans="1:17" x14ac:dyDescent="0.25">
      <c r="D75" t="s">
        <v>28</v>
      </c>
    </row>
    <row r="76" spans="1:17" x14ac:dyDescent="0.25">
      <c r="D76" t="s">
        <v>29</v>
      </c>
    </row>
    <row r="77" spans="1:17" x14ac:dyDescent="0.25">
      <c r="C77" t="s">
        <v>18</v>
      </c>
    </row>
    <row r="78" spans="1:17" x14ac:dyDescent="0.25">
      <c r="C78" t="s">
        <v>20</v>
      </c>
    </row>
    <row r="79" spans="1:17" x14ac:dyDescent="0.25">
      <c r="D79" t="s">
        <v>21</v>
      </c>
    </row>
    <row r="80" spans="1:17" x14ac:dyDescent="0.25">
      <c r="D80" t="s">
        <v>22</v>
      </c>
    </row>
    <row r="81" spans="3:4" x14ac:dyDescent="0.25">
      <c r="D81" t="s">
        <v>23</v>
      </c>
    </row>
    <row r="82" spans="3:4" x14ac:dyDescent="0.25">
      <c r="D82" t="s">
        <v>24</v>
      </c>
    </row>
    <row r="84" spans="3:4" x14ac:dyDescent="0.25">
      <c r="C84" t="s">
        <v>25</v>
      </c>
    </row>
    <row r="85" spans="3:4" x14ac:dyDescent="0.25">
      <c r="D85" t="s">
        <v>26</v>
      </c>
    </row>
    <row r="86" spans="3:4" x14ac:dyDescent="0.25">
      <c r="D8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512B-5CAB-4D2E-B6DB-11837E423B99}">
  <dimension ref="A1:C4"/>
  <sheetViews>
    <sheetView workbookViewId="0">
      <selection activeCell="A5" sqref="A5"/>
    </sheetView>
  </sheetViews>
  <sheetFormatPr defaultRowHeight="15" x14ac:dyDescent="0.25"/>
  <cols>
    <col min="1" max="1" width="15.85546875" customWidth="1"/>
    <col min="2" max="2" width="10" customWidth="1"/>
    <col min="3" max="3" width="10.140625" customWidth="1"/>
  </cols>
  <sheetData>
    <row r="1" spans="1:3" x14ac:dyDescent="0.25">
      <c r="A1" t="s">
        <v>263</v>
      </c>
      <c r="B1" t="s">
        <v>264</v>
      </c>
      <c r="C1" t="s">
        <v>265</v>
      </c>
    </row>
    <row r="2" spans="1:3" x14ac:dyDescent="0.25">
      <c r="A2" t="s">
        <v>262</v>
      </c>
      <c r="B2" t="s">
        <v>266</v>
      </c>
      <c r="C2" t="s">
        <v>271</v>
      </c>
    </row>
    <row r="3" spans="1:3" x14ac:dyDescent="0.25">
      <c r="A3" t="s">
        <v>269</v>
      </c>
      <c r="B3" t="s">
        <v>267</v>
      </c>
      <c r="C3" t="s">
        <v>272</v>
      </c>
    </row>
    <row r="4" spans="1:3" x14ac:dyDescent="0.25">
      <c r="A4" t="s">
        <v>270</v>
      </c>
      <c r="B4" t="s">
        <v>268</v>
      </c>
      <c r="C4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02AB-B7C5-4A37-AC4E-90A681BAB39B}">
  <dimension ref="A1:C2"/>
  <sheetViews>
    <sheetView workbookViewId="0">
      <selection activeCell="B3" sqref="B3"/>
    </sheetView>
  </sheetViews>
  <sheetFormatPr defaultRowHeight="15" x14ac:dyDescent="0.25"/>
  <sheetData>
    <row r="1" spans="1:3" x14ac:dyDescent="0.25">
      <c r="A1" t="s">
        <v>235</v>
      </c>
    </row>
    <row r="2" spans="1:3" x14ac:dyDescent="0.25">
      <c r="B2" t="s">
        <v>260</v>
      </c>
      <c r="C2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8A6D-748F-40B7-8A5F-A0AF74C45249}">
  <dimension ref="A1:AQ68"/>
  <sheetViews>
    <sheetView workbookViewId="0">
      <selection activeCell="J27" sqref="J27"/>
    </sheetView>
  </sheetViews>
  <sheetFormatPr defaultRowHeight="15" x14ac:dyDescent="0.25"/>
  <cols>
    <col min="1" max="4" width="3.85546875" customWidth="1"/>
    <col min="5" max="5" width="17.5703125" customWidth="1"/>
    <col min="6" max="6" width="35" customWidth="1"/>
  </cols>
  <sheetData>
    <row r="1" spans="1:12" x14ac:dyDescent="0.25">
      <c r="L1" t="s">
        <v>18</v>
      </c>
    </row>
    <row r="2" spans="1:12" x14ac:dyDescent="0.25">
      <c r="A2" t="s">
        <v>30</v>
      </c>
    </row>
    <row r="3" spans="1:12" x14ac:dyDescent="0.25">
      <c r="B3" t="s">
        <v>53</v>
      </c>
    </row>
    <row r="5" spans="1:12" x14ac:dyDescent="0.25">
      <c r="B5" t="s">
        <v>4</v>
      </c>
    </row>
    <row r="6" spans="1:12" x14ac:dyDescent="0.25">
      <c r="C6" t="s">
        <v>59</v>
      </c>
    </row>
    <row r="11" spans="1:12" x14ac:dyDescent="0.25">
      <c r="B11" t="s">
        <v>58</v>
      </c>
    </row>
    <row r="12" spans="1:12" x14ac:dyDescent="0.25">
      <c r="C12" t="s">
        <v>5</v>
      </c>
      <c r="G12" t="s">
        <v>56</v>
      </c>
      <c r="I12" t="s">
        <v>60</v>
      </c>
      <c r="J12">
        <v>19</v>
      </c>
      <c r="L12">
        <v>1.7</v>
      </c>
    </row>
    <row r="15" spans="1:12" x14ac:dyDescent="0.25">
      <c r="B15" t="s">
        <v>54</v>
      </c>
      <c r="G15" t="s">
        <v>56</v>
      </c>
      <c r="I15" t="s">
        <v>57</v>
      </c>
      <c r="J15">
        <v>18</v>
      </c>
      <c r="L15">
        <v>2</v>
      </c>
    </row>
    <row r="17" spans="1:12" x14ac:dyDescent="0.25">
      <c r="B17" t="s">
        <v>55</v>
      </c>
      <c r="G17" t="s">
        <v>61</v>
      </c>
      <c r="I17" t="s">
        <v>62</v>
      </c>
      <c r="L17">
        <v>1.5</v>
      </c>
    </row>
    <row r="21" spans="1:12" x14ac:dyDescent="0.25">
      <c r="A21" t="s">
        <v>63</v>
      </c>
    </row>
    <row r="22" spans="1:12" x14ac:dyDescent="0.25">
      <c r="B22" t="s">
        <v>64</v>
      </c>
    </row>
    <row r="23" spans="1:12" x14ac:dyDescent="0.25">
      <c r="C23" t="s">
        <v>82</v>
      </c>
      <c r="G23" t="s">
        <v>65</v>
      </c>
      <c r="I23" t="s">
        <v>73</v>
      </c>
      <c r="J23">
        <v>4</v>
      </c>
    </row>
    <row r="24" spans="1:12" x14ac:dyDescent="0.25">
      <c r="C24" t="s">
        <v>82</v>
      </c>
      <c r="G24" t="s">
        <v>65</v>
      </c>
      <c r="I24" t="s">
        <v>72</v>
      </c>
      <c r="J24">
        <v>5</v>
      </c>
    </row>
    <row r="25" spans="1:12" x14ac:dyDescent="0.25">
      <c r="C25" t="s">
        <v>82</v>
      </c>
      <c r="G25" t="s">
        <v>65</v>
      </c>
      <c r="I25" t="s">
        <v>78</v>
      </c>
      <c r="J25">
        <v>11</v>
      </c>
    </row>
    <row r="26" spans="1:12" x14ac:dyDescent="0.25">
      <c r="C26" t="s">
        <v>81</v>
      </c>
      <c r="G26" t="s">
        <v>71</v>
      </c>
      <c r="H26">
        <v>6</v>
      </c>
      <c r="I26" t="s">
        <v>62</v>
      </c>
    </row>
    <row r="27" spans="1:12" x14ac:dyDescent="0.25">
      <c r="C27" t="s">
        <v>80</v>
      </c>
      <c r="G27" t="s">
        <v>79</v>
      </c>
      <c r="H27">
        <v>13</v>
      </c>
      <c r="I27" t="s">
        <v>62</v>
      </c>
    </row>
    <row r="29" spans="1:12" x14ac:dyDescent="0.25">
      <c r="B29" t="s">
        <v>66</v>
      </c>
    </row>
    <row r="30" spans="1:12" x14ac:dyDescent="0.25">
      <c r="C30" t="s">
        <v>76</v>
      </c>
      <c r="G30" t="s">
        <v>75</v>
      </c>
      <c r="H30" t="s">
        <v>74</v>
      </c>
      <c r="I30" t="s">
        <v>69</v>
      </c>
      <c r="J30" t="s">
        <v>77</v>
      </c>
    </row>
    <row r="31" spans="1:12" x14ac:dyDescent="0.25">
      <c r="C31" t="s">
        <v>70</v>
      </c>
      <c r="G31" t="s">
        <v>68</v>
      </c>
      <c r="H31" t="s">
        <v>67</v>
      </c>
      <c r="I31" t="s">
        <v>69</v>
      </c>
      <c r="J31" t="s">
        <v>77</v>
      </c>
    </row>
    <row r="33" spans="1:43" x14ac:dyDescent="0.25">
      <c r="A33" t="s">
        <v>2</v>
      </c>
      <c r="H33" t="s">
        <v>3</v>
      </c>
      <c r="I33" t="s">
        <v>4</v>
      </c>
      <c r="J33" t="s">
        <v>5</v>
      </c>
      <c r="K33" t="s">
        <v>6</v>
      </c>
      <c r="L33" t="s">
        <v>7</v>
      </c>
      <c r="M33" t="s">
        <v>8</v>
      </c>
      <c r="N33" t="s">
        <v>9</v>
      </c>
      <c r="P33" t="s">
        <v>31</v>
      </c>
      <c r="Q33" t="s">
        <v>32</v>
      </c>
    </row>
    <row r="34" spans="1:43" x14ac:dyDescent="0.25">
      <c r="A34" t="s">
        <v>0</v>
      </c>
      <c r="H34" t="s">
        <v>1</v>
      </c>
    </row>
    <row r="36" spans="1:43" x14ac:dyDescent="0.25">
      <c r="A36" t="s">
        <v>11</v>
      </c>
    </row>
    <row r="37" spans="1:43" x14ac:dyDescent="0.25">
      <c r="B37" t="s">
        <v>14</v>
      </c>
      <c r="F37" t="s">
        <v>15</v>
      </c>
    </row>
    <row r="40" spans="1:43" ht="75" x14ac:dyDescent="0.25">
      <c r="R40" s="1"/>
      <c r="S40" s="1"/>
      <c r="T40" s="1"/>
      <c r="U40" s="2" t="s">
        <v>17</v>
      </c>
      <c r="V40" s="2" t="s">
        <v>33</v>
      </c>
      <c r="W40" s="2" t="s">
        <v>34</v>
      </c>
      <c r="X40" s="2" t="s">
        <v>35</v>
      </c>
      <c r="Y40" s="2" t="s">
        <v>36</v>
      </c>
      <c r="Z40" s="2" t="s">
        <v>37</v>
      </c>
      <c r="AA40" s="2" t="s">
        <v>38</v>
      </c>
      <c r="AB40" s="3" t="s">
        <v>39</v>
      </c>
      <c r="AC40" s="3" t="s">
        <v>40</v>
      </c>
      <c r="AD40" s="3" t="s">
        <v>41</v>
      </c>
      <c r="AE40" s="3" t="s">
        <v>42</v>
      </c>
      <c r="AF40" s="3" t="s">
        <v>43</v>
      </c>
      <c r="AG40" s="3" t="s">
        <v>44</v>
      </c>
      <c r="AH40" s="3" t="s">
        <v>45</v>
      </c>
      <c r="AI40" s="3" t="s">
        <v>18</v>
      </c>
      <c r="AJ40" s="1" t="s">
        <v>46</v>
      </c>
      <c r="AK40" s="1" t="s">
        <v>47</v>
      </c>
      <c r="AL40" s="1" t="s">
        <v>48</v>
      </c>
      <c r="AM40" s="1" t="s">
        <v>49</v>
      </c>
      <c r="AN40" s="1" t="s">
        <v>34</v>
      </c>
      <c r="AO40" s="1" t="s">
        <v>50</v>
      </c>
      <c r="AP40" s="1" t="s">
        <v>51</v>
      </c>
      <c r="AQ40" s="1" t="s">
        <v>52</v>
      </c>
    </row>
    <row r="51" spans="1:11" x14ac:dyDescent="0.25">
      <c r="A51" t="s">
        <v>10</v>
      </c>
    </row>
    <row r="52" spans="1:11" x14ac:dyDescent="0.25">
      <c r="B52" t="s">
        <v>3</v>
      </c>
      <c r="F52" t="s">
        <v>12</v>
      </c>
      <c r="I52" t="s">
        <v>12</v>
      </c>
      <c r="J52" t="s">
        <v>13</v>
      </c>
      <c r="K52" t="s">
        <v>16</v>
      </c>
    </row>
    <row r="53" spans="1:11" x14ac:dyDescent="0.25">
      <c r="C53" t="s">
        <v>19</v>
      </c>
    </row>
    <row r="54" spans="1:11" x14ac:dyDescent="0.25">
      <c r="D54" t="s">
        <v>30</v>
      </c>
    </row>
    <row r="55" spans="1:11" x14ac:dyDescent="0.25">
      <c r="D55" t="s">
        <v>31</v>
      </c>
    </row>
    <row r="56" spans="1:11" x14ac:dyDescent="0.25">
      <c r="C56" t="s">
        <v>17</v>
      </c>
    </row>
    <row r="57" spans="1:11" x14ac:dyDescent="0.25">
      <c r="D57" t="s">
        <v>28</v>
      </c>
    </row>
    <row r="58" spans="1:11" x14ac:dyDescent="0.25">
      <c r="D58" t="s">
        <v>29</v>
      </c>
    </row>
    <row r="59" spans="1:11" x14ac:dyDescent="0.25">
      <c r="C59" t="s">
        <v>18</v>
      </c>
    </row>
    <row r="60" spans="1:11" x14ac:dyDescent="0.25">
      <c r="C60" t="s">
        <v>20</v>
      </c>
    </row>
    <row r="61" spans="1:11" x14ac:dyDescent="0.25">
      <c r="D61" t="s">
        <v>21</v>
      </c>
    </row>
    <row r="62" spans="1:11" x14ac:dyDescent="0.25">
      <c r="D62" t="s">
        <v>22</v>
      </c>
    </row>
    <row r="63" spans="1:11" x14ac:dyDescent="0.25">
      <c r="D63" t="s">
        <v>23</v>
      </c>
    </row>
    <row r="64" spans="1:11" x14ac:dyDescent="0.25">
      <c r="D64" t="s">
        <v>24</v>
      </c>
    </row>
    <row r="66" spans="3:4" x14ac:dyDescent="0.25">
      <c r="C66" t="s">
        <v>25</v>
      </c>
    </row>
    <row r="67" spans="3:4" x14ac:dyDescent="0.25">
      <c r="D67" t="s">
        <v>26</v>
      </c>
    </row>
    <row r="68" spans="3:4" x14ac:dyDescent="0.25">
      <c r="D68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E21E-0446-4279-82F9-6F9F663CCFBF}">
  <dimension ref="A1:J29"/>
  <sheetViews>
    <sheetView workbookViewId="0">
      <selection activeCell="Q26" sqref="Q26"/>
    </sheetView>
  </sheetViews>
  <sheetFormatPr defaultRowHeight="15" x14ac:dyDescent="0.25"/>
  <cols>
    <col min="1" max="1" width="11.7109375" customWidth="1"/>
    <col min="4" max="4" width="13.7109375" customWidth="1"/>
    <col min="5" max="5" width="16.5703125" customWidth="1"/>
    <col min="6" max="6" width="11.42578125" bestFit="1" customWidth="1"/>
  </cols>
  <sheetData>
    <row r="1" spans="1:9" x14ac:dyDescent="0.25">
      <c r="A1" t="s">
        <v>234</v>
      </c>
    </row>
    <row r="2" spans="1:9" x14ac:dyDescent="0.25">
      <c r="A2" t="s">
        <v>235</v>
      </c>
    </row>
    <row r="3" spans="1:9" x14ac:dyDescent="0.25">
      <c r="B3" t="s">
        <v>236</v>
      </c>
    </row>
    <row r="4" spans="1:9" x14ac:dyDescent="0.25">
      <c r="B4" t="s">
        <v>238</v>
      </c>
    </row>
    <row r="5" spans="1:9" x14ac:dyDescent="0.25">
      <c r="B5" t="s">
        <v>239</v>
      </c>
    </row>
    <row r="6" spans="1:9" x14ac:dyDescent="0.25">
      <c r="B6" t="s">
        <v>237</v>
      </c>
    </row>
    <row r="7" spans="1:9" x14ac:dyDescent="0.25">
      <c r="A7" t="s">
        <v>240</v>
      </c>
    </row>
    <row r="8" spans="1:9" x14ac:dyDescent="0.25">
      <c r="B8" t="s">
        <v>136</v>
      </c>
    </row>
    <row r="9" spans="1:9" x14ac:dyDescent="0.25">
      <c r="B9" t="s">
        <v>137</v>
      </c>
    </row>
    <row r="11" spans="1:9" x14ac:dyDescent="0.25">
      <c r="A11" t="s">
        <v>241</v>
      </c>
    </row>
    <row r="12" spans="1:9" x14ac:dyDescent="0.25">
      <c r="B12" t="s">
        <v>136</v>
      </c>
      <c r="D12" s="82">
        <v>1</v>
      </c>
      <c r="F12" t="s">
        <v>242</v>
      </c>
      <c r="G12" t="s">
        <v>243</v>
      </c>
    </row>
    <row r="13" spans="1:9" x14ac:dyDescent="0.25">
      <c r="B13" t="s">
        <v>137</v>
      </c>
      <c r="D13" s="82">
        <v>0.53</v>
      </c>
      <c r="F13" t="s">
        <v>244</v>
      </c>
      <c r="G13" t="s">
        <v>245</v>
      </c>
    </row>
    <row r="15" spans="1:9" x14ac:dyDescent="0.25">
      <c r="B15" s="91" t="s">
        <v>247</v>
      </c>
      <c r="C15" s="91"/>
      <c r="D15" s="91"/>
      <c r="E15" s="91"/>
      <c r="F15" s="91"/>
      <c r="G15" s="91"/>
      <c r="H15" s="38"/>
      <c r="I15" s="38"/>
    </row>
    <row r="16" spans="1:9" x14ac:dyDescent="0.25">
      <c r="B16" s="40" t="s">
        <v>197</v>
      </c>
      <c r="C16" s="40" t="s">
        <v>198</v>
      </c>
      <c r="D16" s="40" t="s">
        <v>136</v>
      </c>
      <c r="E16" s="40" t="s">
        <v>246</v>
      </c>
      <c r="F16" s="40" t="s">
        <v>34</v>
      </c>
      <c r="G16" s="40" t="s">
        <v>200</v>
      </c>
      <c r="H16" s="40" t="s">
        <v>208</v>
      </c>
      <c r="I16" s="40" t="s">
        <v>202</v>
      </c>
    </row>
    <row r="17" spans="2:10" x14ac:dyDescent="0.25">
      <c r="B17" s="41">
        <v>80</v>
      </c>
      <c r="C17" s="42">
        <v>125.3</v>
      </c>
      <c r="D17" s="41">
        <v>100</v>
      </c>
      <c r="E17" s="41">
        <v>100</v>
      </c>
      <c r="F17" s="42">
        <v>1.5</v>
      </c>
      <c r="G17" s="41">
        <f>B17*F17*F17</f>
        <v>180</v>
      </c>
      <c r="H17" s="39"/>
      <c r="I17" s="38"/>
    </row>
    <row r="18" spans="2:10" x14ac:dyDescent="0.25">
      <c r="B18" s="52">
        <v>60</v>
      </c>
      <c r="C18" s="52">
        <v>125.3</v>
      </c>
      <c r="D18" s="52">
        <v>100</v>
      </c>
      <c r="E18" s="52">
        <v>100</v>
      </c>
      <c r="F18" s="52">
        <f>C18/B18</f>
        <v>2.0883333333333334</v>
      </c>
      <c r="G18" s="41">
        <f t="shared" ref="G18" si="0">B18*F18*F18</f>
        <v>261.66816666666665</v>
      </c>
      <c r="H18" s="57"/>
      <c r="I18" s="38"/>
    </row>
    <row r="19" spans="2:10" x14ac:dyDescent="0.25">
      <c r="B19" s="38">
        <v>50</v>
      </c>
      <c r="C19" s="52">
        <v>125.3</v>
      </c>
      <c r="D19" s="52">
        <v>100</v>
      </c>
      <c r="E19" s="52">
        <v>100</v>
      </c>
      <c r="F19" s="52">
        <f>C19/B19</f>
        <v>2.5059999999999998</v>
      </c>
      <c r="G19" s="41">
        <f t="shared" ref="G19" si="1">B19*F19*F19</f>
        <v>314.00179999999995</v>
      </c>
      <c r="H19" s="38"/>
      <c r="I19" s="38"/>
    </row>
    <row r="20" spans="2:10" x14ac:dyDescent="0.25">
      <c r="B20" s="38">
        <v>40</v>
      </c>
      <c r="C20" s="52">
        <v>125.3</v>
      </c>
      <c r="D20" s="52">
        <v>100</v>
      </c>
      <c r="E20" s="52">
        <v>100</v>
      </c>
      <c r="F20" s="52">
        <f>C20/B20</f>
        <v>3.1324999999999998</v>
      </c>
      <c r="G20" s="41">
        <f t="shared" ref="G20" si="2">B20*F20*F20</f>
        <v>392.50224999999995</v>
      </c>
      <c r="H20" s="38"/>
      <c r="I20" s="38"/>
    </row>
    <row r="21" spans="2:10" x14ac:dyDescent="0.25">
      <c r="B21" s="38">
        <v>30</v>
      </c>
      <c r="C21" s="52">
        <v>125.3</v>
      </c>
      <c r="D21" s="52">
        <v>100</v>
      </c>
      <c r="E21" s="52">
        <v>100</v>
      </c>
      <c r="F21" s="52">
        <f>C21/B21</f>
        <v>4.1766666666666667</v>
      </c>
      <c r="G21" s="41">
        <f t="shared" ref="G21" si="3">B21*F21*F21</f>
        <v>523.3363333333333</v>
      </c>
      <c r="H21" s="38"/>
      <c r="I21" s="38"/>
    </row>
    <row r="23" spans="2:10" x14ac:dyDescent="0.25">
      <c r="B23" s="91" t="s">
        <v>247</v>
      </c>
      <c r="C23" s="91"/>
      <c r="D23" s="91"/>
      <c r="E23" s="91"/>
      <c r="F23" s="91"/>
      <c r="G23" s="91"/>
      <c r="H23" s="38"/>
      <c r="I23" s="38"/>
    </row>
    <row r="24" spans="2:10" x14ac:dyDescent="0.25">
      <c r="B24" s="40" t="s">
        <v>197</v>
      </c>
      <c r="C24" s="40" t="s">
        <v>248</v>
      </c>
      <c r="D24" s="40" t="s">
        <v>136</v>
      </c>
      <c r="E24" s="40" t="s">
        <v>246</v>
      </c>
      <c r="F24" s="83" t="s">
        <v>17</v>
      </c>
      <c r="G24" s="40" t="s">
        <v>34</v>
      </c>
      <c r="H24" s="40" t="s">
        <v>200</v>
      </c>
      <c r="I24" s="40" t="s">
        <v>208</v>
      </c>
      <c r="J24" s="40" t="s">
        <v>202</v>
      </c>
    </row>
    <row r="25" spans="2:10" x14ac:dyDescent="0.25">
      <c r="B25" s="41">
        <v>80</v>
      </c>
      <c r="C25" s="42">
        <v>125.3</v>
      </c>
      <c r="D25" s="41">
        <v>20</v>
      </c>
      <c r="E25" s="41">
        <v>100</v>
      </c>
      <c r="F25">
        <f>D25*C25/100</f>
        <v>25.06</v>
      </c>
      <c r="G25" s="42">
        <f>F25/B25</f>
        <v>0.31324999999999997</v>
      </c>
      <c r="H25" s="41">
        <f>B25*G25*G25</f>
        <v>7.8500449999999988</v>
      </c>
      <c r="I25" s="39"/>
      <c r="J25" s="38"/>
    </row>
    <row r="26" spans="2:10" x14ac:dyDescent="0.25">
      <c r="B26" s="52">
        <v>60</v>
      </c>
      <c r="C26" s="52">
        <v>125.3</v>
      </c>
      <c r="D26" s="41">
        <v>20</v>
      </c>
      <c r="E26" s="52">
        <v>100</v>
      </c>
      <c r="F26">
        <f t="shared" ref="F26:F29" si="4">D26*C26/100</f>
        <v>25.06</v>
      </c>
      <c r="G26" s="42">
        <f t="shared" ref="G26:G29" si="5">F26/B26</f>
        <v>0.41766666666666663</v>
      </c>
      <c r="H26" s="41">
        <f>B26*G26*G26</f>
        <v>10.466726666666665</v>
      </c>
      <c r="I26" s="57"/>
      <c r="J26" s="38"/>
    </row>
    <row r="27" spans="2:10" x14ac:dyDescent="0.25">
      <c r="B27" s="38">
        <v>50</v>
      </c>
      <c r="C27" s="52">
        <v>125.3</v>
      </c>
      <c r="D27" s="41">
        <v>20</v>
      </c>
      <c r="E27" s="52">
        <v>100</v>
      </c>
      <c r="F27">
        <f t="shared" si="4"/>
        <v>25.06</v>
      </c>
      <c r="G27" s="42">
        <f t="shared" si="5"/>
        <v>0.50119999999999998</v>
      </c>
      <c r="H27" s="41">
        <f>B27*G27*G27</f>
        <v>12.560071999999998</v>
      </c>
      <c r="I27" s="38"/>
      <c r="J27" s="38"/>
    </row>
    <row r="28" spans="2:10" x14ac:dyDescent="0.25">
      <c r="B28" s="38">
        <v>40</v>
      </c>
      <c r="C28" s="52">
        <v>125.3</v>
      </c>
      <c r="D28" s="41">
        <v>20</v>
      </c>
      <c r="E28" s="52">
        <v>100</v>
      </c>
      <c r="F28">
        <f t="shared" si="4"/>
        <v>25.06</v>
      </c>
      <c r="G28" s="42">
        <f t="shared" si="5"/>
        <v>0.62649999999999995</v>
      </c>
      <c r="H28" s="41">
        <f>B28*G28*G28</f>
        <v>15.700089999999998</v>
      </c>
      <c r="I28" s="38"/>
      <c r="J28" s="38"/>
    </row>
    <row r="29" spans="2:10" x14ac:dyDescent="0.25">
      <c r="B29" s="38">
        <v>30</v>
      </c>
      <c r="C29" s="52">
        <v>125.3</v>
      </c>
      <c r="D29" s="41">
        <v>20</v>
      </c>
      <c r="E29" s="52">
        <v>100</v>
      </c>
      <c r="F29">
        <f t="shared" si="4"/>
        <v>25.06</v>
      </c>
      <c r="G29" s="42">
        <f t="shared" si="5"/>
        <v>0.83533333333333326</v>
      </c>
      <c r="H29" s="41">
        <f>B29*G29*G29</f>
        <v>20.933453333333329</v>
      </c>
      <c r="I29" s="38"/>
      <c r="J29" s="38"/>
    </row>
  </sheetData>
  <mergeCells count="2">
    <mergeCell ref="B15:G15"/>
    <mergeCell ref="B23:G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4746-BFF8-4B0C-ADA6-0F8536DE972D}">
  <dimension ref="A1:J29"/>
  <sheetViews>
    <sheetView workbookViewId="0">
      <selection activeCell="D12" sqref="D12:D13"/>
    </sheetView>
  </sheetViews>
  <sheetFormatPr defaultRowHeight="15" x14ac:dyDescent="0.25"/>
  <cols>
    <col min="1" max="1" width="11.7109375" customWidth="1"/>
    <col min="4" max="4" width="13.7109375" customWidth="1"/>
    <col min="5" max="5" width="16.5703125" customWidth="1"/>
    <col min="6" max="6" width="11.42578125" bestFit="1" customWidth="1"/>
  </cols>
  <sheetData>
    <row r="1" spans="1:9" x14ac:dyDescent="0.25">
      <c r="A1" t="s">
        <v>234</v>
      </c>
    </row>
    <row r="2" spans="1:9" x14ac:dyDescent="0.25">
      <c r="A2" t="s">
        <v>235</v>
      </c>
    </row>
    <row r="3" spans="1:9" x14ac:dyDescent="0.25">
      <c r="B3" t="s">
        <v>249</v>
      </c>
    </row>
    <row r="4" spans="1:9" x14ac:dyDescent="0.25">
      <c r="B4" t="s">
        <v>252</v>
      </c>
    </row>
    <row r="5" spans="1:9" x14ac:dyDescent="0.25">
      <c r="B5" t="s">
        <v>253</v>
      </c>
    </row>
    <row r="7" spans="1:9" x14ac:dyDescent="0.25">
      <c r="A7" t="s">
        <v>240</v>
      </c>
    </row>
    <row r="8" spans="1:9" x14ac:dyDescent="0.25">
      <c r="B8" t="s">
        <v>116</v>
      </c>
    </row>
    <row r="9" spans="1:9" x14ac:dyDescent="0.25">
      <c r="B9" t="s">
        <v>117</v>
      </c>
    </row>
    <row r="11" spans="1:9" x14ac:dyDescent="0.25">
      <c r="A11" t="s">
        <v>241</v>
      </c>
    </row>
    <row r="12" spans="1:9" x14ac:dyDescent="0.25">
      <c r="B12" t="s">
        <v>116</v>
      </c>
      <c r="D12" s="82">
        <v>1</v>
      </c>
      <c r="F12" t="s">
        <v>242</v>
      </c>
      <c r="G12" t="s">
        <v>243</v>
      </c>
    </row>
    <row r="13" spans="1:9" x14ac:dyDescent="0.25">
      <c r="B13" t="s">
        <v>117</v>
      </c>
      <c r="D13" s="82">
        <v>0.53</v>
      </c>
      <c r="F13" t="s">
        <v>244</v>
      </c>
      <c r="G13" t="s">
        <v>245</v>
      </c>
    </row>
    <row r="15" spans="1:9" x14ac:dyDescent="0.25">
      <c r="B15" s="91" t="s">
        <v>250</v>
      </c>
      <c r="C15" s="91"/>
      <c r="D15" s="91"/>
      <c r="E15" s="91"/>
      <c r="F15" s="91"/>
      <c r="G15" s="91"/>
      <c r="H15" s="38"/>
      <c r="I15" s="38"/>
    </row>
    <row r="16" spans="1:9" x14ac:dyDescent="0.25">
      <c r="B16" s="40" t="s">
        <v>197</v>
      </c>
      <c r="C16" s="40" t="s">
        <v>198</v>
      </c>
      <c r="D16" s="40" t="s">
        <v>136</v>
      </c>
      <c r="E16" s="40" t="s">
        <v>246</v>
      </c>
      <c r="F16" s="40" t="s">
        <v>34</v>
      </c>
      <c r="G16" s="40" t="s">
        <v>200</v>
      </c>
      <c r="H16" s="40" t="s">
        <v>208</v>
      </c>
      <c r="I16" s="40" t="s">
        <v>202</v>
      </c>
    </row>
    <row r="17" spans="2:10" x14ac:dyDescent="0.25">
      <c r="B17" s="41">
        <v>80</v>
      </c>
      <c r="C17" s="42">
        <v>125.3</v>
      </c>
      <c r="D17" s="41">
        <v>100</v>
      </c>
      <c r="E17" s="41">
        <v>100</v>
      </c>
      <c r="F17" s="42">
        <v>1.5</v>
      </c>
      <c r="G17" s="41">
        <f>B17*F17*F17</f>
        <v>180</v>
      </c>
      <c r="H17" s="39"/>
      <c r="I17" s="38"/>
    </row>
    <row r="18" spans="2:10" x14ac:dyDescent="0.25">
      <c r="B18" s="86">
        <v>60</v>
      </c>
      <c r="C18" s="86">
        <v>125.3</v>
      </c>
      <c r="D18" s="86">
        <v>100</v>
      </c>
      <c r="E18" s="86">
        <v>100</v>
      </c>
      <c r="F18" s="86">
        <f>C18/B18</f>
        <v>2.0883333333333334</v>
      </c>
      <c r="G18" s="69">
        <f t="shared" ref="G18" si="0">B18*F18*F18</f>
        <v>261.66816666666665</v>
      </c>
      <c r="H18" s="87"/>
      <c r="I18" s="88"/>
    </row>
    <row r="19" spans="2:10" x14ac:dyDescent="0.25">
      <c r="C19" s="60"/>
      <c r="D19" s="60"/>
      <c r="E19" s="60"/>
      <c r="F19" s="60"/>
      <c r="G19" s="89"/>
    </row>
    <row r="20" spans="2:10" x14ac:dyDescent="0.25">
      <c r="C20" s="60"/>
      <c r="D20" s="60"/>
      <c r="E20" s="60"/>
      <c r="F20" s="60"/>
      <c r="G20" s="89"/>
    </row>
    <row r="21" spans="2:10" x14ac:dyDescent="0.25">
      <c r="C21" s="60"/>
      <c r="D21" s="60"/>
      <c r="E21" s="60"/>
      <c r="F21" s="60"/>
      <c r="G21" s="89"/>
    </row>
    <row r="23" spans="2:10" x14ac:dyDescent="0.25">
      <c r="B23" s="91" t="s">
        <v>250</v>
      </c>
      <c r="C23" s="91"/>
      <c r="D23" s="91"/>
      <c r="E23" s="91"/>
      <c r="F23" s="91"/>
      <c r="G23" s="91"/>
      <c r="H23" s="38"/>
      <c r="I23" s="38"/>
    </row>
    <row r="24" spans="2:10" x14ac:dyDescent="0.25">
      <c r="B24" s="40" t="s">
        <v>197</v>
      </c>
      <c r="C24" s="40" t="s">
        <v>248</v>
      </c>
      <c r="D24" s="40" t="s">
        <v>136</v>
      </c>
      <c r="E24" s="40" t="s">
        <v>246</v>
      </c>
      <c r="F24" s="83" t="s">
        <v>17</v>
      </c>
      <c r="G24" s="40" t="s">
        <v>34</v>
      </c>
      <c r="H24" s="40" t="s">
        <v>200</v>
      </c>
      <c r="I24" s="40" t="s">
        <v>208</v>
      </c>
      <c r="J24" s="40" t="s">
        <v>202</v>
      </c>
    </row>
    <row r="25" spans="2:10" x14ac:dyDescent="0.25">
      <c r="B25" s="41">
        <v>80</v>
      </c>
      <c r="C25" s="42">
        <v>125.3</v>
      </c>
      <c r="D25" s="41">
        <v>20</v>
      </c>
      <c r="E25" s="41">
        <v>100</v>
      </c>
      <c r="F25">
        <v>23.8</v>
      </c>
      <c r="G25" s="42">
        <f>F25/B25</f>
        <v>0.29749999999999999</v>
      </c>
      <c r="H25" s="41">
        <f>B25*G25*G25</f>
        <v>7.0804999999999989</v>
      </c>
      <c r="I25" s="39"/>
      <c r="J25" s="38"/>
    </row>
    <row r="26" spans="2:10" x14ac:dyDescent="0.25">
      <c r="B26" s="52">
        <v>60</v>
      </c>
      <c r="C26" s="52">
        <v>125.3</v>
      </c>
      <c r="D26" s="41">
        <v>20</v>
      </c>
      <c r="E26" s="52">
        <v>100</v>
      </c>
      <c r="F26">
        <v>23.8</v>
      </c>
      <c r="G26" s="42">
        <f t="shared" ref="G26:G29" si="1">F26/B26</f>
        <v>0.39666666666666667</v>
      </c>
      <c r="H26" s="41">
        <f>B26*G26*G26</f>
        <v>9.440666666666667</v>
      </c>
      <c r="I26" s="57"/>
      <c r="J26" s="38"/>
    </row>
    <row r="27" spans="2:10" x14ac:dyDescent="0.25">
      <c r="B27" s="38">
        <v>50</v>
      </c>
      <c r="C27" s="52">
        <v>125.3</v>
      </c>
      <c r="D27" s="41">
        <v>20</v>
      </c>
      <c r="E27" s="52">
        <v>100</v>
      </c>
      <c r="F27">
        <v>23.8</v>
      </c>
      <c r="G27" s="42">
        <f t="shared" si="1"/>
        <v>0.47600000000000003</v>
      </c>
      <c r="H27" s="41">
        <f>B27*G27*G27</f>
        <v>11.328800000000001</v>
      </c>
      <c r="I27" s="38"/>
      <c r="J27" s="38"/>
    </row>
    <row r="28" spans="2:10" x14ac:dyDescent="0.25">
      <c r="B28" s="38">
        <v>40</v>
      </c>
      <c r="C28" s="52">
        <v>125.3</v>
      </c>
      <c r="D28" s="41">
        <v>20</v>
      </c>
      <c r="E28" s="52">
        <v>100</v>
      </c>
      <c r="F28">
        <v>23.8</v>
      </c>
      <c r="G28" s="42">
        <f t="shared" si="1"/>
        <v>0.59499999999999997</v>
      </c>
      <c r="H28" s="41">
        <f>B28*G28*G28</f>
        <v>14.160999999999998</v>
      </c>
      <c r="I28" s="38"/>
      <c r="J28" s="38"/>
    </row>
    <row r="29" spans="2:10" x14ac:dyDescent="0.25">
      <c r="B29" s="38">
        <v>30</v>
      </c>
      <c r="C29" s="52">
        <v>125.3</v>
      </c>
      <c r="D29" s="41">
        <v>20</v>
      </c>
      <c r="E29" s="52">
        <v>100</v>
      </c>
      <c r="F29">
        <v>23.8</v>
      </c>
      <c r="G29" s="42">
        <f t="shared" si="1"/>
        <v>0.79333333333333333</v>
      </c>
      <c r="H29" s="41">
        <f>B29*G29*G29</f>
        <v>18.881333333333334</v>
      </c>
      <c r="I29" s="38"/>
      <c r="J29" s="38"/>
    </row>
  </sheetData>
  <mergeCells count="2">
    <mergeCell ref="B15:G15"/>
    <mergeCell ref="B23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8CC2-CE11-4539-AF0B-CBBC8DBB0BC4}">
  <dimension ref="A1:Q58"/>
  <sheetViews>
    <sheetView workbookViewId="0">
      <selection sqref="A1:G4"/>
    </sheetView>
  </sheetViews>
  <sheetFormatPr defaultRowHeight="15" x14ac:dyDescent="0.25"/>
  <cols>
    <col min="6" max="6" width="16.5703125" customWidth="1"/>
  </cols>
  <sheetData>
    <row r="1" spans="1:17" x14ac:dyDescent="0.25">
      <c r="A1" s="92" t="s">
        <v>226</v>
      </c>
      <c r="B1" s="93"/>
      <c r="C1" s="93"/>
      <c r="D1" s="93"/>
      <c r="E1" s="93"/>
      <c r="F1" s="93"/>
      <c r="L1" t="s">
        <v>203</v>
      </c>
      <c r="O1" t="s">
        <v>227</v>
      </c>
    </row>
    <row r="2" spans="1:17" x14ac:dyDescent="0.25">
      <c r="A2" s="40" t="s">
        <v>197</v>
      </c>
      <c r="B2" s="40" t="s">
        <v>198</v>
      </c>
      <c r="C2" s="40"/>
      <c r="D2" s="40" t="s">
        <v>34</v>
      </c>
      <c r="E2" s="40" t="s">
        <v>200</v>
      </c>
      <c r="F2" s="40" t="s">
        <v>208</v>
      </c>
      <c r="G2" s="40" t="s">
        <v>202</v>
      </c>
      <c r="H2" s="36"/>
      <c r="L2">
        <v>80</v>
      </c>
      <c r="M2">
        <v>125.5</v>
      </c>
      <c r="N2">
        <f>M2/L2</f>
        <v>1.5687500000000001</v>
      </c>
      <c r="O2">
        <f>L2*N2*N2</f>
        <v>196.87812500000001</v>
      </c>
    </row>
    <row r="3" spans="1:17" x14ac:dyDescent="0.25">
      <c r="A3" s="41">
        <v>80</v>
      </c>
      <c r="B3" s="42">
        <v>125.3</v>
      </c>
      <c r="C3" s="41"/>
      <c r="D3" s="42">
        <v>1.5</v>
      </c>
      <c r="E3" s="41"/>
      <c r="F3" s="39"/>
      <c r="G3" s="38"/>
      <c r="H3" s="30"/>
      <c r="L3">
        <v>60</v>
      </c>
      <c r="M3">
        <v>125.5</v>
      </c>
      <c r="N3">
        <f>M3/L3</f>
        <v>2.0916666666666668</v>
      </c>
      <c r="O3">
        <f>L3*N3*N3</f>
        <v>262.50416666666666</v>
      </c>
    </row>
    <row r="4" spans="1:17" x14ac:dyDescent="0.25">
      <c r="A4" s="44">
        <v>60</v>
      </c>
      <c r="B4" s="44">
        <v>125.3</v>
      </c>
      <c r="C4" s="44"/>
      <c r="D4" s="44"/>
      <c r="E4" s="44"/>
      <c r="F4" s="37" t="s">
        <v>231</v>
      </c>
      <c r="G4" s="46"/>
    </row>
    <row r="6" spans="1:17" x14ac:dyDescent="0.25">
      <c r="A6" s="94"/>
      <c r="B6" s="94"/>
      <c r="C6" s="94"/>
      <c r="D6" s="94"/>
      <c r="E6" s="94"/>
      <c r="F6" s="94"/>
    </row>
    <row r="7" spans="1:17" x14ac:dyDescent="0.25">
      <c r="A7" s="36"/>
      <c r="B7" s="36"/>
      <c r="C7" s="36"/>
      <c r="D7" s="36"/>
      <c r="E7" s="36"/>
      <c r="F7" s="36"/>
      <c r="G7" s="36"/>
      <c r="L7" s="36"/>
      <c r="M7" s="36"/>
      <c r="N7" s="36"/>
      <c r="O7" s="36"/>
      <c r="P7" s="36"/>
      <c r="Q7" s="36"/>
    </row>
    <row r="8" spans="1:17" x14ac:dyDescent="0.25">
      <c r="A8" s="60"/>
      <c r="B8" s="60"/>
      <c r="C8" s="60"/>
      <c r="D8" s="60"/>
      <c r="E8" s="60"/>
      <c r="F8" s="78"/>
      <c r="L8" s="60"/>
      <c r="M8" s="60"/>
      <c r="N8" s="60"/>
      <c r="O8" s="60"/>
      <c r="Q8" s="78"/>
    </row>
    <row r="9" spans="1:17" x14ac:dyDescent="0.25">
      <c r="A9" s="60"/>
      <c r="B9" s="60"/>
      <c r="C9" s="60"/>
      <c r="D9" s="60"/>
      <c r="E9" s="60"/>
      <c r="F9" s="79"/>
      <c r="L9" s="60"/>
      <c r="M9" s="60"/>
      <c r="N9" s="60"/>
      <c r="O9" s="60"/>
      <c r="Q9" s="79"/>
    </row>
    <row r="10" spans="1:17" x14ac:dyDescent="0.25">
      <c r="A10" s="60"/>
      <c r="B10" s="60"/>
      <c r="C10" s="60"/>
      <c r="D10" s="60"/>
      <c r="E10" s="60"/>
      <c r="F10" s="79"/>
      <c r="L10" s="60"/>
      <c r="M10" s="60"/>
      <c r="N10" s="60"/>
      <c r="O10" s="60"/>
      <c r="Q10" s="79"/>
    </row>
    <row r="11" spans="1:17" x14ac:dyDescent="0.25">
      <c r="A11" s="60"/>
      <c r="B11" s="60"/>
      <c r="C11" s="60"/>
      <c r="D11" s="60"/>
      <c r="E11" s="60"/>
      <c r="F11" s="79"/>
      <c r="L11" s="60"/>
      <c r="M11" s="60"/>
      <c r="N11" s="60"/>
      <c r="O11" s="60"/>
      <c r="Q11" s="79"/>
    </row>
    <row r="12" spans="1:17" x14ac:dyDescent="0.25">
      <c r="A12" s="60"/>
      <c r="B12" s="60"/>
      <c r="C12" s="60"/>
      <c r="D12" s="60"/>
      <c r="E12" s="60"/>
      <c r="F12" s="79"/>
      <c r="L12" s="60"/>
      <c r="M12" s="60"/>
      <c r="N12" s="60"/>
      <c r="O12" s="60"/>
      <c r="Q12" s="79"/>
    </row>
    <row r="13" spans="1:17" x14ac:dyDescent="0.25">
      <c r="A13" s="60"/>
      <c r="B13" s="60"/>
      <c r="C13" s="60"/>
      <c r="D13" s="60"/>
      <c r="E13" s="60"/>
      <c r="F13" s="79"/>
      <c r="L13" s="60"/>
      <c r="M13" s="60"/>
      <c r="N13" s="60"/>
      <c r="O13" s="60"/>
      <c r="Q13" s="79"/>
    </row>
    <row r="14" spans="1:17" x14ac:dyDescent="0.25">
      <c r="A14" s="60"/>
      <c r="B14" s="60"/>
      <c r="C14" s="60"/>
      <c r="D14" s="60"/>
      <c r="E14" s="60"/>
      <c r="F14" s="79"/>
      <c r="L14" s="60"/>
      <c r="M14" s="60"/>
      <c r="N14" s="60"/>
      <c r="O14" s="60"/>
      <c r="Q14" s="79"/>
    </row>
    <row r="15" spans="1:17" x14ac:dyDescent="0.25">
      <c r="A15" s="60"/>
      <c r="C15" s="60"/>
      <c r="E15" s="60"/>
      <c r="F15" s="79"/>
      <c r="L15" s="60"/>
      <c r="N15" s="60"/>
      <c r="O15" s="60"/>
    </row>
    <row r="16" spans="1:17" x14ac:dyDescent="0.25">
      <c r="A16" s="60"/>
      <c r="B16" s="60"/>
      <c r="C16" s="60"/>
      <c r="D16" s="60"/>
      <c r="E16" s="60"/>
      <c r="F16" s="79"/>
      <c r="G16" s="60"/>
      <c r="L16" s="60"/>
      <c r="M16" s="60"/>
      <c r="N16" s="60"/>
      <c r="O16" s="60"/>
      <c r="Q16" s="79"/>
    </row>
    <row r="17" spans="1:17" x14ac:dyDescent="0.25">
      <c r="A17" s="60"/>
      <c r="B17" s="60"/>
      <c r="C17" s="60"/>
      <c r="D17" s="60"/>
      <c r="E17" s="60"/>
      <c r="F17" s="79"/>
      <c r="L17" s="60"/>
      <c r="M17" s="60"/>
      <c r="N17" s="60"/>
      <c r="O17" s="60"/>
      <c r="Q17" s="79"/>
    </row>
    <row r="18" spans="1:17" x14ac:dyDescent="0.25">
      <c r="A18" s="94"/>
      <c r="B18" s="94"/>
      <c r="C18" s="94"/>
      <c r="D18" s="94"/>
      <c r="E18" s="94"/>
      <c r="F18" s="94"/>
    </row>
    <row r="19" spans="1:17" x14ac:dyDescent="0.25">
      <c r="A19" s="36"/>
      <c r="B19" s="36"/>
      <c r="C19" s="36"/>
      <c r="D19" s="36"/>
      <c r="E19" s="36"/>
      <c r="F19" s="36"/>
      <c r="G19" s="36"/>
      <c r="L19" s="36"/>
      <c r="M19" s="36"/>
      <c r="N19" s="36"/>
      <c r="O19" s="36"/>
      <c r="P19" s="36"/>
      <c r="Q19" s="36"/>
    </row>
    <row r="20" spans="1:17" x14ac:dyDescent="0.25">
      <c r="A20" s="60"/>
      <c r="B20" s="60"/>
      <c r="C20" s="60"/>
      <c r="D20" s="60"/>
      <c r="E20" s="60"/>
      <c r="F20" s="78"/>
      <c r="L20" s="60"/>
      <c r="M20" s="60"/>
      <c r="N20" s="60"/>
      <c r="O20" s="60"/>
      <c r="P20" s="60"/>
      <c r="Q20" s="78"/>
    </row>
    <row r="21" spans="1:17" x14ac:dyDescent="0.25">
      <c r="A21" s="60"/>
      <c r="B21" s="60"/>
      <c r="C21" s="60"/>
      <c r="D21" s="60"/>
      <c r="E21" s="60"/>
      <c r="F21" s="79"/>
      <c r="L21" s="60"/>
      <c r="M21" s="60"/>
      <c r="N21" s="60"/>
      <c r="O21" s="60"/>
      <c r="P21" s="60"/>
      <c r="Q21" s="79"/>
    </row>
    <row r="22" spans="1:17" x14ac:dyDescent="0.25">
      <c r="A22" s="60"/>
      <c r="B22" s="60"/>
      <c r="C22" s="60"/>
      <c r="D22" s="60"/>
      <c r="E22" s="60"/>
      <c r="F22" s="79"/>
      <c r="L22" s="60"/>
      <c r="M22" s="60"/>
      <c r="N22" s="60"/>
      <c r="O22" s="60"/>
      <c r="P22" s="60"/>
      <c r="Q22" s="79"/>
    </row>
    <row r="23" spans="1:17" x14ac:dyDescent="0.25">
      <c r="A23" s="60"/>
      <c r="B23" s="60"/>
      <c r="C23" s="60"/>
      <c r="E23" s="60"/>
      <c r="F23" s="79"/>
      <c r="L23" s="60"/>
      <c r="M23" s="60"/>
      <c r="N23" s="60"/>
      <c r="O23" s="60"/>
      <c r="P23" s="60"/>
      <c r="Q23" s="79"/>
    </row>
    <row r="24" spans="1:17" x14ac:dyDescent="0.25">
      <c r="A24" s="60"/>
      <c r="B24" s="60"/>
      <c r="C24" s="60"/>
      <c r="E24" s="60"/>
      <c r="F24" s="79"/>
      <c r="G24" s="60"/>
      <c r="L24" s="60"/>
      <c r="M24" s="60"/>
      <c r="N24" s="60"/>
      <c r="O24" s="60"/>
      <c r="P24" s="60"/>
      <c r="Q24" s="79"/>
    </row>
    <row r="25" spans="1:17" x14ac:dyDescent="0.25">
      <c r="A25" s="60"/>
      <c r="B25" s="60"/>
      <c r="C25" s="60"/>
      <c r="E25" s="60"/>
      <c r="F25" s="79"/>
      <c r="L25" s="60"/>
      <c r="M25" s="60"/>
      <c r="N25" s="60"/>
      <c r="O25" s="60"/>
      <c r="P25" s="60"/>
      <c r="Q25" s="79"/>
    </row>
    <row r="26" spans="1:17" x14ac:dyDescent="0.25">
      <c r="A26" s="60"/>
      <c r="B26" s="60"/>
      <c r="C26" s="60"/>
      <c r="E26" s="60"/>
      <c r="F26" s="79"/>
      <c r="G26" s="60"/>
      <c r="L26" s="60"/>
      <c r="M26" s="60"/>
      <c r="N26" s="60"/>
      <c r="O26" s="60"/>
      <c r="P26" s="60"/>
      <c r="Q26" s="79"/>
    </row>
    <row r="27" spans="1:17" x14ac:dyDescent="0.25">
      <c r="A27" s="60"/>
      <c r="B27" s="60"/>
      <c r="C27" s="60"/>
      <c r="E27" s="60"/>
      <c r="L27" s="60"/>
      <c r="M27" s="60"/>
      <c r="N27" s="60"/>
      <c r="O27" s="60"/>
      <c r="P27" s="60"/>
      <c r="Q27" s="79"/>
    </row>
    <row r="28" spans="1:17" x14ac:dyDescent="0.25">
      <c r="A28" s="60"/>
      <c r="B28" s="60"/>
      <c r="C28" s="60"/>
      <c r="E28" s="60"/>
      <c r="F28" s="79"/>
      <c r="G28" s="60"/>
      <c r="L28" s="60"/>
      <c r="M28" s="60"/>
      <c r="N28" s="60"/>
      <c r="O28" s="60"/>
      <c r="P28" s="60"/>
      <c r="Q28" s="79"/>
    </row>
    <row r="29" spans="1:17" x14ac:dyDescent="0.25">
      <c r="A29" s="60"/>
      <c r="B29" s="60"/>
      <c r="C29" s="60"/>
      <c r="E29" s="60"/>
      <c r="F29" s="79"/>
    </row>
    <row r="30" spans="1:17" x14ac:dyDescent="0.25">
      <c r="A30" s="94"/>
      <c r="B30" s="94"/>
      <c r="C30" s="94"/>
      <c r="D30" s="94"/>
      <c r="E30" s="94"/>
      <c r="F30" s="94"/>
      <c r="L30" s="36"/>
      <c r="M30" s="36"/>
      <c r="N30" s="36"/>
      <c r="O30" s="36"/>
      <c r="P30" s="36"/>
      <c r="Q30" s="36"/>
    </row>
    <row r="31" spans="1:17" x14ac:dyDescent="0.25">
      <c r="A31" s="36"/>
      <c r="B31" s="36"/>
      <c r="C31" s="36"/>
      <c r="D31" s="36"/>
      <c r="E31" s="36"/>
      <c r="F31" s="36"/>
      <c r="G31" s="36"/>
      <c r="L31" s="60"/>
      <c r="M31" s="60"/>
      <c r="N31" s="60"/>
      <c r="O31" s="60"/>
      <c r="P31" s="60"/>
      <c r="Q31" s="78"/>
    </row>
    <row r="32" spans="1:17" x14ac:dyDescent="0.25">
      <c r="A32" s="60"/>
      <c r="B32" s="60"/>
      <c r="C32" s="60"/>
      <c r="D32" s="60"/>
      <c r="E32" s="60"/>
      <c r="F32" s="78"/>
      <c r="L32" s="60"/>
      <c r="M32" s="60"/>
      <c r="N32" s="60"/>
      <c r="O32" s="60"/>
      <c r="P32" s="60"/>
      <c r="Q32" s="79"/>
    </row>
    <row r="33" spans="1:17" x14ac:dyDescent="0.25">
      <c r="A33" s="60"/>
      <c r="B33" s="60"/>
      <c r="C33" s="60"/>
      <c r="D33" s="60"/>
      <c r="E33" s="60"/>
      <c r="F33" s="79"/>
      <c r="L33" s="60"/>
      <c r="M33" s="60"/>
      <c r="N33" s="60"/>
      <c r="O33" s="60"/>
      <c r="P33" s="60"/>
      <c r="Q33" s="79"/>
    </row>
    <row r="34" spans="1:17" x14ac:dyDescent="0.25">
      <c r="A34" s="60"/>
      <c r="B34" s="60"/>
      <c r="C34" s="60"/>
      <c r="E34" s="60"/>
      <c r="F34" s="79"/>
      <c r="L34" s="60"/>
      <c r="M34" s="60"/>
      <c r="N34" s="60"/>
      <c r="O34" s="60"/>
      <c r="P34" s="60"/>
      <c r="Q34" s="79"/>
    </row>
    <row r="35" spans="1:17" x14ac:dyDescent="0.25">
      <c r="A35" s="60"/>
      <c r="B35" s="60"/>
      <c r="C35" s="60"/>
      <c r="E35" s="60"/>
      <c r="L35" s="60"/>
      <c r="M35" s="60"/>
      <c r="N35" s="60"/>
      <c r="O35" s="60"/>
      <c r="P35" s="60"/>
      <c r="Q35" s="79"/>
    </row>
    <row r="36" spans="1:17" x14ac:dyDescent="0.25">
      <c r="A36" s="60"/>
      <c r="B36" s="60"/>
      <c r="C36" s="60"/>
      <c r="E36" s="60"/>
      <c r="F36" s="79"/>
      <c r="G36" s="60"/>
      <c r="L36" s="60"/>
      <c r="M36" s="60"/>
      <c r="N36" s="60"/>
      <c r="O36" s="60"/>
      <c r="P36" s="60"/>
      <c r="Q36" s="79"/>
    </row>
    <row r="37" spans="1:17" x14ac:dyDescent="0.25">
      <c r="A37" s="60"/>
      <c r="B37" s="60"/>
      <c r="C37" s="60"/>
      <c r="E37" s="60"/>
      <c r="F37" s="79"/>
      <c r="L37" s="60"/>
      <c r="M37" s="60"/>
      <c r="N37" s="60"/>
      <c r="O37" s="60"/>
      <c r="P37" s="60"/>
      <c r="Q37" s="79"/>
    </row>
    <row r="38" spans="1:17" x14ac:dyDescent="0.25">
      <c r="A38" s="60"/>
      <c r="B38" s="60"/>
      <c r="C38" s="60"/>
      <c r="E38" s="60"/>
      <c r="F38" s="79"/>
      <c r="G38" s="60"/>
      <c r="L38" s="60"/>
      <c r="M38" s="60"/>
      <c r="N38" s="60"/>
      <c r="O38" s="60"/>
      <c r="P38" s="60"/>
      <c r="Q38" s="79"/>
    </row>
    <row r="39" spans="1:17" x14ac:dyDescent="0.25">
      <c r="A39" s="60"/>
      <c r="B39" s="60"/>
      <c r="C39" s="60"/>
      <c r="E39" s="60"/>
      <c r="L39" s="60"/>
      <c r="M39" s="60"/>
      <c r="N39" s="60"/>
      <c r="O39" s="60"/>
      <c r="P39" s="60"/>
      <c r="Q39" s="79"/>
    </row>
    <row r="40" spans="1:17" x14ac:dyDescent="0.25">
      <c r="A40" s="60"/>
      <c r="B40" s="60"/>
      <c r="C40" s="60"/>
      <c r="E40" s="60"/>
      <c r="F40" s="79"/>
      <c r="G40" s="60"/>
    </row>
    <row r="41" spans="1:17" x14ac:dyDescent="0.25">
      <c r="A41" s="60"/>
      <c r="B41" s="60"/>
      <c r="C41" s="60"/>
      <c r="E41" s="60"/>
      <c r="F41" s="79"/>
    </row>
    <row r="42" spans="1:17" x14ac:dyDescent="0.25">
      <c r="A42" s="94"/>
      <c r="B42" s="94"/>
      <c r="C42" s="94"/>
      <c r="D42" s="94"/>
      <c r="E42" s="94"/>
      <c r="F42" s="94"/>
    </row>
    <row r="43" spans="1:17" x14ac:dyDescent="0.25">
      <c r="A43" s="36"/>
      <c r="B43" s="36"/>
      <c r="C43" s="36"/>
      <c r="D43" s="36"/>
      <c r="E43" s="36"/>
      <c r="F43" s="36"/>
      <c r="G43" s="36"/>
      <c r="L43" s="36"/>
      <c r="M43" s="36"/>
      <c r="N43" s="36"/>
      <c r="O43" s="36"/>
      <c r="P43" s="36"/>
      <c r="Q43" s="36"/>
    </row>
    <row r="44" spans="1:17" x14ac:dyDescent="0.25">
      <c r="A44" s="60"/>
      <c r="B44" s="60"/>
      <c r="C44" s="60"/>
      <c r="D44" s="60"/>
      <c r="E44" s="60"/>
      <c r="F44" s="36"/>
      <c r="G44" s="36"/>
      <c r="L44" s="36"/>
      <c r="M44" s="36"/>
      <c r="N44" s="36"/>
      <c r="O44" s="36"/>
      <c r="P44" s="36"/>
      <c r="Q44" s="36"/>
    </row>
    <row r="45" spans="1:17" x14ac:dyDescent="0.25">
      <c r="A45" s="60"/>
      <c r="B45" s="60"/>
      <c r="C45" s="60"/>
      <c r="D45" s="60"/>
      <c r="E45" s="60"/>
      <c r="F45" s="36"/>
      <c r="G45" s="36"/>
      <c r="L45" s="36"/>
      <c r="M45" s="36"/>
      <c r="N45" s="36"/>
      <c r="O45" s="36"/>
      <c r="P45" s="36"/>
      <c r="Q45" s="36"/>
    </row>
    <row r="46" spans="1:17" x14ac:dyDescent="0.25">
      <c r="A46" s="60"/>
      <c r="B46" s="60"/>
      <c r="C46" s="60"/>
      <c r="D46" s="60"/>
      <c r="E46" s="60"/>
      <c r="F46" s="36"/>
      <c r="G46" s="36"/>
      <c r="L46" s="36"/>
      <c r="M46" s="36"/>
      <c r="N46" s="36"/>
      <c r="O46" s="36"/>
      <c r="P46" s="36"/>
      <c r="Q46" s="36"/>
    </row>
    <row r="47" spans="1:17" x14ac:dyDescent="0.25">
      <c r="A47" s="60"/>
      <c r="B47" s="60"/>
      <c r="C47" s="60"/>
      <c r="D47" s="60"/>
      <c r="E47" s="60"/>
      <c r="F47" s="36"/>
      <c r="G47" s="36"/>
      <c r="L47" s="36"/>
      <c r="M47" s="36"/>
      <c r="N47" s="36"/>
      <c r="O47" s="36"/>
      <c r="P47" s="36"/>
      <c r="Q47" s="36"/>
    </row>
    <row r="48" spans="1:17" x14ac:dyDescent="0.25">
      <c r="A48" s="60"/>
      <c r="B48" s="60"/>
      <c r="C48" s="60"/>
      <c r="D48" s="60"/>
      <c r="E48" s="60"/>
      <c r="F48" s="79"/>
      <c r="L48" s="36"/>
      <c r="M48" s="36"/>
      <c r="N48" s="36"/>
      <c r="O48" s="36"/>
      <c r="P48" s="36"/>
      <c r="Q48" s="36"/>
    </row>
    <row r="49" spans="1:17" x14ac:dyDescent="0.25">
      <c r="A49" s="60"/>
      <c r="B49" s="60"/>
      <c r="C49" s="60"/>
      <c r="D49" s="60"/>
      <c r="E49" s="60"/>
      <c r="F49" s="79"/>
      <c r="L49" s="60"/>
      <c r="M49" s="60"/>
      <c r="N49" s="60"/>
      <c r="O49" s="60"/>
      <c r="P49" s="60"/>
      <c r="Q49" s="78"/>
    </row>
    <row r="50" spans="1:17" x14ac:dyDescent="0.25">
      <c r="A50" s="60"/>
      <c r="B50" s="60"/>
      <c r="C50" s="60"/>
      <c r="E50" s="60"/>
      <c r="F50" s="79"/>
      <c r="L50" s="60"/>
      <c r="M50" s="60"/>
      <c r="N50" s="60"/>
      <c r="O50" s="60"/>
      <c r="P50" s="60"/>
      <c r="Q50" s="79"/>
    </row>
    <row r="51" spans="1:17" x14ac:dyDescent="0.25">
      <c r="A51" s="60"/>
      <c r="B51" s="60"/>
      <c r="C51" s="60"/>
      <c r="E51" s="60"/>
      <c r="L51" s="60"/>
      <c r="M51" s="60"/>
      <c r="N51" s="60"/>
      <c r="O51" s="60"/>
      <c r="P51" s="60"/>
      <c r="Q51" s="79"/>
    </row>
    <row r="52" spans="1:17" x14ac:dyDescent="0.25">
      <c r="A52" s="60"/>
      <c r="B52" s="60"/>
      <c r="C52" s="60"/>
      <c r="E52" s="60"/>
      <c r="L52" s="60"/>
      <c r="M52" s="60"/>
      <c r="N52" s="60"/>
      <c r="O52" s="60"/>
      <c r="P52" s="60"/>
      <c r="Q52" s="79"/>
    </row>
    <row r="53" spans="1:17" x14ac:dyDescent="0.25">
      <c r="A53" s="60"/>
      <c r="B53" s="60"/>
      <c r="C53" s="60"/>
      <c r="E53" s="60"/>
      <c r="F53" s="79"/>
      <c r="G53" s="60"/>
      <c r="L53" s="60"/>
      <c r="M53" s="60"/>
      <c r="N53" s="60"/>
      <c r="O53" s="60"/>
      <c r="P53" s="60"/>
      <c r="Q53" s="79"/>
    </row>
    <row r="54" spans="1:17" x14ac:dyDescent="0.25">
      <c r="A54" s="60"/>
      <c r="B54" s="60"/>
      <c r="C54" s="60"/>
      <c r="E54" s="60"/>
      <c r="F54" s="79"/>
      <c r="L54" s="60"/>
      <c r="M54" s="60"/>
      <c r="N54" s="60"/>
      <c r="O54" s="60"/>
      <c r="P54" s="60"/>
      <c r="Q54" s="79"/>
    </row>
    <row r="55" spans="1:17" x14ac:dyDescent="0.25">
      <c r="A55" s="60"/>
      <c r="B55" s="60"/>
      <c r="C55" s="60"/>
      <c r="E55" s="60"/>
      <c r="F55" s="79"/>
      <c r="G55" s="60"/>
      <c r="L55" s="60"/>
      <c r="M55" s="60"/>
      <c r="N55" s="60"/>
      <c r="O55" s="60"/>
      <c r="P55" s="60"/>
      <c r="Q55" s="79"/>
    </row>
    <row r="56" spans="1:17" x14ac:dyDescent="0.25">
      <c r="A56" s="60"/>
      <c r="B56" s="60"/>
      <c r="C56" s="60"/>
      <c r="E56" s="60"/>
      <c r="L56" s="60"/>
      <c r="M56" s="60"/>
      <c r="N56" s="60"/>
      <c r="O56" s="60"/>
      <c r="P56" s="60"/>
      <c r="Q56" s="79"/>
    </row>
    <row r="57" spans="1:17" x14ac:dyDescent="0.25">
      <c r="A57" s="60"/>
      <c r="B57" s="60"/>
      <c r="C57" s="60"/>
      <c r="E57" s="60"/>
      <c r="F57" s="79"/>
      <c r="G57" s="60"/>
      <c r="L57" s="60"/>
      <c r="M57" s="60"/>
      <c r="N57" s="60"/>
      <c r="O57" s="60"/>
      <c r="P57" s="60"/>
      <c r="Q57" s="79"/>
    </row>
    <row r="58" spans="1:17" x14ac:dyDescent="0.25">
      <c r="A58" s="60"/>
      <c r="B58" s="60"/>
      <c r="C58" s="60"/>
      <c r="E58" s="60"/>
      <c r="F58" s="79"/>
    </row>
  </sheetData>
  <mergeCells count="5">
    <mergeCell ref="A1:F1"/>
    <mergeCell ref="A6:F6"/>
    <mergeCell ref="A18:F18"/>
    <mergeCell ref="A30:F30"/>
    <mergeCell ref="A42:F4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791C-D3D0-4CB2-B421-833B5752FDFA}">
  <dimension ref="A1:Q64"/>
  <sheetViews>
    <sheetView workbookViewId="0">
      <selection activeCell="C38" sqref="C38"/>
    </sheetView>
  </sheetViews>
  <sheetFormatPr defaultRowHeight="15" x14ac:dyDescent="0.25"/>
  <cols>
    <col min="6" max="6" width="16.5703125" customWidth="1"/>
  </cols>
  <sheetData>
    <row r="1" spans="1:17" x14ac:dyDescent="0.25">
      <c r="A1" s="92" t="s">
        <v>206</v>
      </c>
      <c r="B1" s="93"/>
      <c r="C1" s="93"/>
      <c r="D1" s="93"/>
      <c r="E1" s="93"/>
      <c r="F1" s="93"/>
      <c r="L1" t="s">
        <v>203</v>
      </c>
    </row>
    <row r="2" spans="1:17" x14ac:dyDescent="0.25">
      <c r="A2" s="40" t="s">
        <v>197</v>
      </c>
      <c r="B2" s="40" t="s">
        <v>198</v>
      </c>
      <c r="C2" s="40" t="s">
        <v>199</v>
      </c>
      <c r="D2" s="40" t="s">
        <v>34</v>
      </c>
      <c r="E2" s="40" t="s">
        <v>200</v>
      </c>
      <c r="F2" s="40" t="s">
        <v>208</v>
      </c>
      <c r="G2" s="40" t="s">
        <v>202</v>
      </c>
      <c r="H2" s="36"/>
    </row>
    <row r="3" spans="1:17" x14ac:dyDescent="0.25">
      <c r="A3" s="41">
        <v>100</v>
      </c>
      <c r="B3" s="42">
        <v>25.2</v>
      </c>
      <c r="C3" s="41">
        <v>20</v>
      </c>
      <c r="D3" s="42">
        <v>0.25</v>
      </c>
      <c r="E3" s="41">
        <v>6.25</v>
      </c>
      <c r="F3" s="47"/>
      <c r="G3" s="38">
        <v>1.5</v>
      </c>
      <c r="H3" s="30"/>
    </row>
    <row r="4" spans="1:17" x14ac:dyDescent="0.25">
      <c r="A4" s="45">
        <v>100</v>
      </c>
      <c r="B4" s="42">
        <v>37.700000000000003</v>
      </c>
      <c r="C4" s="45">
        <v>30</v>
      </c>
      <c r="D4" s="42">
        <v>0.376</v>
      </c>
      <c r="E4" s="45">
        <v>14.137600000000001</v>
      </c>
      <c r="F4" s="37"/>
      <c r="G4" s="38"/>
    </row>
    <row r="5" spans="1:17" x14ac:dyDescent="0.25">
      <c r="A5" s="41">
        <v>100</v>
      </c>
      <c r="B5" s="42">
        <v>50.3</v>
      </c>
      <c r="C5" s="41">
        <v>40</v>
      </c>
      <c r="D5" s="42">
        <v>0.498</v>
      </c>
      <c r="E5" s="41">
        <v>24.8004</v>
      </c>
      <c r="F5" s="39"/>
      <c r="G5" s="38"/>
    </row>
    <row r="6" spans="1:17" x14ac:dyDescent="0.25">
      <c r="A6" s="45">
        <v>100</v>
      </c>
      <c r="B6" s="42">
        <v>62.9</v>
      </c>
      <c r="C6" s="45">
        <v>50</v>
      </c>
      <c r="D6" s="42">
        <v>0.623</v>
      </c>
      <c r="E6" s="45">
        <v>38.812899999999999</v>
      </c>
      <c r="F6" s="37"/>
      <c r="G6" s="38"/>
    </row>
    <row r="7" spans="1:17" x14ac:dyDescent="0.25">
      <c r="A7" s="41">
        <v>100</v>
      </c>
      <c r="B7" s="42">
        <v>75.2</v>
      </c>
      <c r="C7" s="41">
        <v>60</v>
      </c>
      <c r="D7" s="42">
        <v>0.748</v>
      </c>
      <c r="E7" s="41">
        <v>55.950400000000002</v>
      </c>
      <c r="F7" s="39"/>
      <c r="G7" s="38"/>
    </row>
    <row r="8" spans="1:17" x14ac:dyDescent="0.25">
      <c r="A8" s="45">
        <v>100</v>
      </c>
      <c r="B8" s="42">
        <v>87.3</v>
      </c>
      <c r="C8" s="45">
        <v>70</v>
      </c>
      <c r="D8" s="42">
        <v>0.879</v>
      </c>
      <c r="E8" s="45">
        <v>77.264099999999999</v>
      </c>
      <c r="F8" s="37"/>
      <c r="G8" s="38"/>
    </row>
    <row r="9" spans="1:17" x14ac:dyDescent="0.25">
      <c r="A9" s="41">
        <v>100</v>
      </c>
      <c r="B9" s="42">
        <v>100.3</v>
      </c>
      <c r="C9" s="41">
        <v>80</v>
      </c>
      <c r="D9" s="42">
        <v>0.997</v>
      </c>
      <c r="E9" s="41">
        <v>99.400899999999993</v>
      </c>
      <c r="F9" s="39"/>
      <c r="G9" s="38"/>
    </row>
    <row r="10" spans="1:17" x14ac:dyDescent="0.25">
      <c r="A10" s="45">
        <v>100</v>
      </c>
      <c r="B10" s="42">
        <v>112.8</v>
      </c>
      <c r="C10" s="45">
        <v>90</v>
      </c>
      <c r="D10" s="42">
        <v>1.1200000000000001</v>
      </c>
      <c r="E10" s="45">
        <v>125.44</v>
      </c>
      <c r="F10" s="37"/>
      <c r="G10" s="38"/>
    </row>
    <row r="11" spans="1:17" x14ac:dyDescent="0.25">
      <c r="A11" s="41">
        <v>100</v>
      </c>
      <c r="B11" s="42">
        <v>125.3</v>
      </c>
      <c r="C11" s="41">
        <v>100</v>
      </c>
      <c r="D11" s="42">
        <v>1.2450000000000001</v>
      </c>
      <c r="E11" s="41">
        <v>155.0025</v>
      </c>
      <c r="F11" s="39"/>
      <c r="G11" s="38"/>
    </row>
    <row r="12" spans="1:17" ht="15.75" thickBot="1" x14ac:dyDescent="0.3">
      <c r="A12" s="92" t="s">
        <v>206</v>
      </c>
      <c r="B12" s="93"/>
      <c r="C12" s="93"/>
      <c r="D12" s="93"/>
      <c r="E12" s="93"/>
      <c r="F12" s="93"/>
    </row>
    <row r="13" spans="1:17" ht="15.75" thickBot="1" x14ac:dyDescent="0.3">
      <c r="A13" s="40" t="s">
        <v>197</v>
      </c>
      <c r="B13" s="40" t="s">
        <v>198</v>
      </c>
      <c r="C13" s="40" t="s">
        <v>199</v>
      </c>
      <c r="D13" s="40" t="s">
        <v>34</v>
      </c>
      <c r="E13" s="40" t="s">
        <v>200</v>
      </c>
      <c r="F13" s="40" t="s">
        <v>208</v>
      </c>
      <c r="G13" s="40" t="s">
        <v>213</v>
      </c>
      <c r="L13" s="14" t="s">
        <v>197</v>
      </c>
      <c r="M13" s="15" t="s">
        <v>198</v>
      </c>
      <c r="N13" s="15" t="s">
        <v>199</v>
      </c>
      <c r="O13" s="15" t="s">
        <v>34</v>
      </c>
      <c r="P13" s="15" t="s">
        <v>200</v>
      </c>
      <c r="Q13" s="16" t="s">
        <v>201</v>
      </c>
    </row>
    <row r="14" spans="1:17" ht="15.75" thickBot="1" x14ac:dyDescent="0.3">
      <c r="A14" s="41">
        <v>50</v>
      </c>
      <c r="B14" s="42">
        <v>25.2</v>
      </c>
      <c r="C14" s="41">
        <v>20</v>
      </c>
      <c r="D14" s="42">
        <v>0.496</v>
      </c>
      <c r="E14" s="41">
        <f>B14*D14</f>
        <v>12.4992</v>
      </c>
      <c r="F14" s="47"/>
      <c r="G14" s="38"/>
      <c r="L14" s="17">
        <v>50</v>
      </c>
      <c r="M14" s="28">
        <v>25.2</v>
      </c>
      <c r="N14" s="19">
        <v>20</v>
      </c>
      <c r="O14" s="28">
        <f>M14/L14</f>
        <v>0.504</v>
      </c>
      <c r="P14">
        <f t="shared" ref="P14:P20" si="0">O14*M14</f>
        <v>12.700799999999999</v>
      </c>
      <c r="Q14" s="21" t="s">
        <v>59</v>
      </c>
    </row>
    <row r="15" spans="1:17" ht="15.75" thickBot="1" x14ac:dyDescent="0.3">
      <c r="A15" s="45">
        <v>50</v>
      </c>
      <c r="B15" s="42">
        <v>37.700000000000003</v>
      </c>
      <c r="C15" s="45">
        <v>30</v>
      </c>
      <c r="D15" s="42">
        <v>0.74299999999999999</v>
      </c>
      <c r="E15" s="41">
        <f t="shared" ref="E15:E18" si="1">B15*D15</f>
        <v>28.011100000000003</v>
      </c>
      <c r="F15" s="37"/>
      <c r="G15" s="38"/>
      <c r="L15" s="17">
        <v>50</v>
      </c>
      <c r="M15" s="28">
        <v>37.700000000000003</v>
      </c>
      <c r="N15" s="23">
        <v>30</v>
      </c>
      <c r="O15" s="28">
        <f t="shared" ref="O15:O20" si="2">M15/L15</f>
        <v>0.754</v>
      </c>
      <c r="P15">
        <f t="shared" si="0"/>
        <v>28.425800000000002</v>
      </c>
      <c r="Q15" s="25"/>
    </row>
    <row r="16" spans="1:17" ht="15.75" thickBot="1" x14ac:dyDescent="0.3">
      <c r="A16" s="41">
        <v>50</v>
      </c>
      <c r="B16" s="42">
        <v>50.3</v>
      </c>
      <c r="C16" s="41">
        <v>40</v>
      </c>
      <c r="D16" s="42">
        <v>0.98599999999999999</v>
      </c>
      <c r="E16" s="41">
        <f t="shared" si="1"/>
        <v>49.595799999999997</v>
      </c>
      <c r="F16" s="39"/>
      <c r="G16" s="38"/>
      <c r="L16" s="17">
        <v>50</v>
      </c>
      <c r="M16" s="28">
        <v>50.3</v>
      </c>
      <c r="N16" s="19">
        <v>40</v>
      </c>
      <c r="O16" s="28">
        <f t="shared" si="2"/>
        <v>1.006</v>
      </c>
      <c r="P16">
        <f t="shared" si="0"/>
        <v>50.601799999999997</v>
      </c>
      <c r="Q16" s="26"/>
    </row>
    <row r="17" spans="1:17" ht="15.75" thickBot="1" x14ac:dyDescent="0.3">
      <c r="A17" s="45">
        <v>50</v>
      </c>
      <c r="B17" s="42">
        <v>62.9</v>
      </c>
      <c r="C17" s="45">
        <v>50</v>
      </c>
      <c r="D17" s="42">
        <v>1.21</v>
      </c>
      <c r="E17" s="41">
        <f t="shared" si="1"/>
        <v>76.108999999999995</v>
      </c>
      <c r="F17" s="37"/>
      <c r="G17" s="38"/>
      <c r="L17" s="17">
        <v>50</v>
      </c>
      <c r="M17" s="28">
        <v>62.9</v>
      </c>
      <c r="N17" s="23">
        <v>50</v>
      </c>
      <c r="O17" s="31">
        <f t="shared" si="2"/>
        <v>1.258</v>
      </c>
      <c r="P17">
        <f t="shared" si="0"/>
        <v>79.128199999999993</v>
      </c>
      <c r="Q17" s="25"/>
    </row>
    <row r="18" spans="1:17" ht="15.75" thickBot="1" x14ac:dyDescent="0.3">
      <c r="A18" s="41">
        <v>50</v>
      </c>
      <c r="B18" s="42">
        <v>75.2</v>
      </c>
      <c r="C18" s="41">
        <v>60</v>
      </c>
      <c r="D18" s="42">
        <v>1.4450000000000001</v>
      </c>
      <c r="E18" s="41">
        <f t="shared" si="1"/>
        <v>108.66400000000002</v>
      </c>
      <c r="F18" s="39"/>
      <c r="G18" s="38"/>
      <c r="L18" s="17">
        <v>50</v>
      </c>
      <c r="M18" s="28">
        <v>75.2</v>
      </c>
      <c r="N18" s="19">
        <v>60</v>
      </c>
      <c r="O18" s="31">
        <f t="shared" si="2"/>
        <v>1.504</v>
      </c>
      <c r="P18">
        <f t="shared" si="0"/>
        <v>113.10080000000001</v>
      </c>
      <c r="Q18" s="26"/>
    </row>
    <row r="19" spans="1:17" ht="15.75" thickBot="1" x14ac:dyDescent="0.3">
      <c r="A19" s="45">
        <v>50</v>
      </c>
      <c r="B19" s="42">
        <v>87.3</v>
      </c>
      <c r="C19" s="45">
        <v>70</v>
      </c>
      <c r="D19" s="48">
        <v>1.7210000000000001</v>
      </c>
      <c r="E19" s="41">
        <f t="shared" ref="E19:E20" si="3">B19*D19</f>
        <v>150.2433</v>
      </c>
      <c r="F19" s="37"/>
      <c r="G19" s="38"/>
      <c r="L19" s="17">
        <v>50</v>
      </c>
      <c r="M19" s="28">
        <v>87.3</v>
      </c>
      <c r="N19" s="23">
        <v>70</v>
      </c>
      <c r="O19" s="31">
        <f t="shared" si="2"/>
        <v>1.746</v>
      </c>
      <c r="P19">
        <f t="shared" si="0"/>
        <v>152.42579999999998</v>
      </c>
      <c r="Q19" s="25"/>
    </row>
    <row r="20" spans="1:17" ht="15.75" thickBot="1" x14ac:dyDescent="0.3">
      <c r="A20" s="41">
        <v>50</v>
      </c>
      <c r="B20" s="42">
        <v>100.3</v>
      </c>
      <c r="C20" s="41">
        <v>80</v>
      </c>
      <c r="D20" s="48">
        <v>1.96</v>
      </c>
      <c r="E20" s="41">
        <f t="shared" si="3"/>
        <v>196.58799999999999</v>
      </c>
      <c r="F20" s="39"/>
      <c r="G20" s="43" t="s">
        <v>209</v>
      </c>
      <c r="L20" s="17">
        <v>50</v>
      </c>
      <c r="M20" s="28">
        <v>100.3</v>
      </c>
      <c r="N20" s="19">
        <v>80</v>
      </c>
      <c r="O20" s="31">
        <f t="shared" si="2"/>
        <v>2.0059999999999998</v>
      </c>
      <c r="P20">
        <f t="shared" si="0"/>
        <v>201.20179999999996</v>
      </c>
      <c r="Q20" s="26"/>
    </row>
    <row r="21" spans="1:17" ht="15.75" thickBot="1" x14ac:dyDescent="0.3">
      <c r="A21" s="45">
        <v>50</v>
      </c>
      <c r="B21" s="46"/>
      <c r="C21" s="45">
        <v>85</v>
      </c>
      <c r="D21" s="46"/>
      <c r="E21" s="41">
        <f>B21*D21</f>
        <v>0</v>
      </c>
      <c r="F21" s="37" t="s">
        <v>215</v>
      </c>
      <c r="G21" s="46" t="s">
        <v>212</v>
      </c>
      <c r="L21" s="17">
        <v>50</v>
      </c>
      <c r="M21">
        <f>N21*125.5/100</f>
        <v>106.675</v>
      </c>
      <c r="N21" s="34">
        <v>85</v>
      </c>
      <c r="O21" s="35">
        <f>M21/L21</f>
        <v>2.1334999999999997</v>
      </c>
      <c r="P21">
        <f>O21*M21</f>
        <v>227.59111249999995</v>
      </c>
    </row>
    <row r="22" spans="1:17" ht="15.75" thickBot="1" x14ac:dyDescent="0.3">
      <c r="A22" s="45">
        <v>50</v>
      </c>
      <c r="B22" s="44"/>
      <c r="C22" s="45">
        <v>90</v>
      </c>
      <c r="D22" s="44"/>
      <c r="E22" s="41">
        <f>B22*D22</f>
        <v>0</v>
      </c>
      <c r="F22" s="37"/>
      <c r="G22" s="44"/>
      <c r="L22" s="17">
        <v>50</v>
      </c>
      <c r="M22" s="28">
        <v>112.8</v>
      </c>
      <c r="N22" s="23">
        <v>90</v>
      </c>
      <c r="O22" s="31">
        <f>M22/L22</f>
        <v>2.2559999999999998</v>
      </c>
      <c r="P22">
        <f t="shared" ref="P22:P23" si="4">O22*M22</f>
        <v>254.47679999999997</v>
      </c>
      <c r="Q22" s="25"/>
    </row>
    <row r="23" spans="1:17" ht="15.75" thickBot="1" x14ac:dyDescent="0.3">
      <c r="A23" s="41">
        <v>50</v>
      </c>
      <c r="B23" s="44"/>
      <c r="C23" s="41">
        <v>100</v>
      </c>
      <c r="D23" s="44"/>
      <c r="E23" s="41">
        <f>B23*D23</f>
        <v>0</v>
      </c>
      <c r="F23" s="39"/>
      <c r="G23" s="38"/>
      <c r="L23" s="17">
        <v>50</v>
      </c>
      <c r="M23" s="28">
        <v>125.3</v>
      </c>
      <c r="N23" s="19">
        <v>100</v>
      </c>
      <c r="O23" s="31">
        <f>M23/L23</f>
        <v>2.5059999999999998</v>
      </c>
      <c r="P23">
        <f t="shared" si="4"/>
        <v>314.00179999999995</v>
      </c>
      <c r="Q23" s="26"/>
    </row>
    <row r="24" spans="1:17" ht="15.75" thickBot="1" x14ac:dyDescent="0.3">
      <c r="A24" s="92" t="s">
        <v>206</v>
      </c>
      <c r="B24" s="93"/>
      <c r="C24" s="93"/>
      <c r="D24" s="93"/>
      <c r="E24" s="93"/>
      <c r="F24" s="93"/>
    </row>
    <row r="25" spans="1:17" ht="15.75" thickBot="1" x14ac:dyDescent="0.3">
      <c r="A25" s="40" t="s">
        <v>197</v>
      </c>
      <c r="B25" s="40" t="s">
        <v>198</v>
      </c>
      <c r="C25" s="40" t="s">
        <v>199</v>
      </c>
      <c r="D25" s="40" t="s">
        <v>34</v>
      </c>
      <c r="E25" s="40" t="s">
        <v>200</v>
      </c>
      <c r="F25" s="40" t="s">
        <v>208</v>
      </c>
      <c r="G25" s="40" t="s">
        <v>213</v>
      </c>
      <c r="L25" s="14" t="s">
        <v>197</v>
      </c>
      <c r="M25" s="15" t="s">
        <v>198</v>
      </c>
      <c r="N25" s="15" t="s">
        <v>199</v>
      </c>
      <c r="O25" s="15" t="s">
        <v>34</v>
      </c>
      <c r="P25" s="15" t="s">
        <v>200</v>
      </c>
      <c r="Q25" s="16" t="s">
        <v>201</v>
      </c>
    </row>
    <row r="26" spans="1:17" ht="15.75" thickBot="1" x14ac:dyDescent="0.3">
      <c r="A26" s="41">
        <v>25</v>
      </c>
      <c r="B26" s="42">
        <v>24.9</v>
      </c>
      <c r="C26" s="41">
        <v>20</v>
      </c>
      <c r="D26" s="42">
        <v>0.98</v>
      </c>
      <c r="E26" s="41">
        <f>B26*D26</f>
        <v>24.401999999999997</v>
      </c>
      <c r="F26" s="47"/>
      <c r="G26" s="43" t="s">
        <v>209</v>
      </c>
      <c r="L26" s="17">
        <v>25</v>
      </c>
      <c r="M26" s="28">
        <v>25.2</v>
      </c>
      <c r="N26" s="19">
        <v>20</v>
      </c>
      <c r="O26" s="28">
        <f>M26/L26</f>
        <v>1.008</v>
      </c>
      <c r="P26" s="20">
        <v>6.25</v>
      </c>
      <c r="Q26" s="21" t="s">
        <v>59</v>
      </c>
    </row>
    <row r="27" spans="1:17" ht="15.75" thickBot="1" x14ac:dyDescent="0.3">
      <c r="A27" s="41">
        <v>25</v>
      </c>
      <c r="B27" s="42">
        <v>37.299999999999997</v>
      </c>
      <c r="C27" s="45">
        <v>30</v>
      </c>
      <c r="D27" s="42">
        <v>1.468</v>
      </c>
      <c r="E27" s="41">
        <f t="shared" ref="E27:E32" si="5">B27*D27</f>
        <v>54.756399999999992</v>
      </c>
      <c r="F27" s="37"/>
      <c r="G27" s="43" t="s">
        <v>209</v>
      </c>
      <c r="L27" s="17">
        <v>25</v>
      </c>
      <c r="M27" s="28">
        <v>37.700000000000003</v>
      </c>
      <c r="N27" s="23">
        <v>30</v>
      </c>
      <c r="O27" s="28">
        <f t="shared" ref="O27:O34" si="6">M27/L27</f>
        <v>1.508</v>
      </c>
      <c r="P27" s="24">
        <v>14.137600000000001</v>
      </c>
      <c r="Q27" s="25"/>
    </row>
    <row r="28" spans="1:17" ht="15.75" thickBot="1" x14ac:dyDescent="0.3">
      <c r="A28" s="41">
        <v>25</v>
      </c>
      <c r="B28" s="42">
        <v>49.7</v>
      </c>
      <c r="C28" s="41">
        <v>40</v>
      </c>
      <c r="D28" s="42">
        <v>1.9490000000000001</v>
      </c>
      <c r="E28" s="41">
        <f t="shared" si="5"/>
        <v>96.865300000000005</v>
      </c>
      <c r="F28" s="39"/>
      <c r="G28" s="43" t="s">
        <v>209</v>
      </c>
      <c r="L28" s="17">
        <v>25</v>
      </c>
      <c r="M28" s="28">
        <v>50.3</v>
      </c>
      <c r="N28" s="19">
        <v>40</v>
      </c>
      <c r="O28" s="28">
        <f t="shared" si="6"/>
        <v>2.012</v>
      </c>
      <c r="P28" s="20">
        <v>24.8004</v>
      </c>
      <c r="Q28" s="26"/>
    </row>
    <row r="29" spans="1:17" ht="15.75" thickBot="1" x14ac:dyDescent="0.3">
      <c r="A29" s="41">
        <v>25</v>
      </c>
      <c r="B29" s="44"/>
      <c r="C29" s="45">
        <v>50</v>
      </c>
      <c r="D29" s="46"/>
      <c r="E29" s="41">
        <f t="shared" si="5"/>
        <v>0</v>
      </c>
      <c r="F29" s="37" t="s">
        <v>215</v>
      </c>
      <c r="G29" s="46" t="s">
        <v>212</v>
      </c>
      <c r="L29" s="17">
        <v>25</v>
      </c>
      <c r="M29" s="28">
        <v>62.9</v>
      </c>
      <c r="N29" s="23">
        <v>50</v>
      </c>
      <c r="O29" s="31">
        <f t="shared" si="6"/>
        <v>2.516</v>
      </c>
      <c r="P29" s="24">
        <v>38.812899999999999</v>
      </c>
      <c r="Q29" s="25"/>
    </row>
    <row r="30" spans="1:17" ht="15.75" thickBot="1" x14ac:dyDescent="0.3">
      <c r="A30" s="41">
        <v>25</v>
      </c>
      <c r="B30" s="44"/>
      <c r="C30" s="41">
        <v>60</v>
      </c>
      <c r="D30" s="46"/>
      <c r="E30" s="41">
        <f t="shared" si="5"/>
        <v>0</v>
      </c>
      <c r="F30" s="39"/>
      <c r="G30" s="44"/>
      <c r="L30" s="17">
        <v>25</v>
      </c>
      <c r="M30" s="28">
        <v>75.2</v>
      </c>
      <c r="N30" s="19">
        <v>60</v>
      </c>
      <c r="O30" s="31">
        <f t="shared" si="6"/>
        <v>3.008</v>
      </c>
      <c r="P30" s="20">
        <v>55.950400000000002</v>
      </c>
      <c r="Q30" s="26"/>
    </row>
    <row r="31" spans="1:17" ht="15.75" thickBot="1" x14ac:dyDescent="0.3">
      <c r="A31" s="41">
        <v>25</v>
      </c>
      <c r="B31" s="44"/>
      <c r="C31" s="45">
        <v>70</v>
      </c>
      <c r="D31" s="46"/>
      <c r="E31" s="41">
        <f t="shared" si="5"/>
        <v>0</v>
      </c>
      <c r="F31" s="37"/>
      <c r="G31" s="46"/>
      <c r="L31" s="17">
        <v>25</v>
      </c>
      <c r="M31" s="28">
        <v>87.3</v>
      </c>
      <c r="N31" s="23">
        <v>70</v>
      </c>
      <c r="O31" s="31">
        <f t="shared" si="6"/>
        <v>3.492</v>
      </c>
      <c r="P31" s="24">
        <v>77.264099999999999</v>
      </c>
      <c r="Q31" s="25"/>
    </row>
    <row r="32" spans="1:17" ht="15.75" thickBot="1" x14ac:dyDescent="0.3">
      <c r="A32" s="41">
        <v>25</v>
      </c>
      <c r="B32" s="44"/>
      <c r="C32" s="41">
        <v>80</v>
      </c>
      <c r="D32" s="46"/>
      <c r="E32" s="41">
        <f t="shared" si="5"/>
        <v>0</v>
      </c>
      <c r="F32" s="39"/>
      <c r="G32" s="44"/>
      <c r="L32" s="17">
        <v>25</v>
      </c>
      <c r="M32" s="28">
        <v>100.3</v>
      </c>
      <c r="N32" s="19">
        <v>80</v>
      </c>
      <c r="O32" s="31">
        <f t="shared" si="6"/>
        <v>4.0119999999999996</v>
      </c>
      <c r="P32" s="20">
        <v>99.400899999999993</v>
      </c>
      <c r="Q32" s="26"/>
    </row>
    <row r="33" spans="1:17" ht="15.75" thickBot="1" x14ac:dyDescent="0.3">
      <c r="A33" s="41">
        <v>25</v>
      </c>
      <c r="B33" s="44"/>
      <c r="C33" s="45">
        <v>85</v>
      </c>
      <c r="D33" s="46"/>
      <c r="E33" s="41">
        <f>B33*D33</f>
        <v>0</v>
      </c>
      <c r="F33" s="38"/>
      <c r="G33" s="46"/>
      <c r="L33" s="17">
        <v>25</v>
      </c>
      <c r="M33" s="28">
        <v>112.8</v>
      </c>
      <c r="N33" s="23">
        <v>90</v>
      </c>
      <c r="O33" s="31">
        <f t="shared" si="6"/>
        <v>4.5119999999999996</v>
      </c>
      <c r="P33" s="24">
        <v>125.44</v>
      </c>
      <c r="Q33" s="25"/>
    </row>
    <row r="34" spans="1:17" ht="15.75" thickBot="1" x14ac:dyDescent="0.3">
      <c r="A34" s="41">
        <v>25</v>
      </c>
      <c r="B34" s="44"/>
      <c r="C34" s="45">
        <v>90</v>
      </c>
      <c r="D34" s="46"/>
      <c r="E34" s="41">
        <f>B34*D34</f>
        <v>0</v>
      </c>
      <c r="F34" s="37"/>
      <c r="G34" s="44"/>
      <c r="L34" s="17">
        <v>25</v>
      </c>
      <c r="M34" s="28">
        <v>125.3</v>
      </c>
      <c r="N34" s="19">
        <v>100</v>
      </c>
      <c r="O34" s="31">
        <f t="shared" si="6"/>
        <v>5.0119999999999996</v>
      </c>
      <c r="P34" s="20">
        <v>155.0025</v>
      </c>
      <c r="Q34" s="26"/>
    </row>
    <row r="35" spans="1:17" ht="15.75" thickBot="1" x14ac:dyDescent="0.3">
      <c r="A35" s="41">
        <v>25</v>
      </c>
      <c r="B35" s="44"/>
      <c r="C35" s="41">
        <v>100</v>
      </c>
      <c r="D35" s="46"/>
      <c r="E35" s="41">
        <f>B35*D35</f>
        <v>0</v>
      </c>
      <c r="F35" s="39"/>
      <c r="G35" s="46"/>
    </row>
    <row r="36" spans="1:17" ht="15.75" thickBot="1" x14ac:dyDescent="0.3">
      <c r="A36" s="92" t="s">
        <v>206</v>
      </c>
      <c r="B36" s="93"/>
      <c r="C36" s="93"/>
      <c r="D36" s="93"/>
      <c r="E36" s="93"/>
      <c r="F36" s="93"/>
      <c r="L36" s="14" t="s">
        <v>197</v>
      </c>
      <c r="M36" s="15" t="s">
        <v>198</v>
      </c>
      <c r="N36" s="15" t="s">
        <v>199</v>
      </c>
      <c r="O36" s="15" t="s">
        <v>34</v>
      </c>
      <c r="P36" s="15" t="s">
        <v>200</v>
      </c>
      <c r="Q36" s="16" t="s">
        <v>201</v>
      </c>
    </row>
    <row r="37" spans="1:17" ht="15.75" thickBot="1" x14ac:dyDescent="0.3">
      <c r="A37" s="40" t="s">
        <v>197</v>
      </c>
      <c r="B37" s="40" t="s">
        <v>198</v>
      </c>
      <c r="C37" s="40" t="s">
        <v>199</v>
      </c>
      <c r="D37" s="40" t="s">
        <v>34</v>
      </c>
      <c r="E37" s="40" t="s">
        <v>200</v>
      </c>
      <c r="F37" s="40" t="s">
        <v>208</v>
      </c>
      <c r="G37" s="40" t="s">
        <v>213</v>
      </c>
      <c r="L37" s="17">
        <v>20</v>
      </c>
      <c r="M37" s="28">
        <v>25.2</v>
      </c>
      <c r="N37" s="19">
        <v>20</v>
      </c>
      <c r="O37" s="28">
        <f>M37/L37</f>
        <v>1.26</v>
      </c>
      <c r="P37" s="20">
        <v>6.25</v>
      </c>
      <c r="Q37" s="21" t="s">
        <v>59</v>
      </c>
    </row>
    <row r="38" spans="1:17" ht="15.75" thickBot="1" x14ac:dyDescent="0.3">
      <c r="A38" s="41">
        <v>20</v>
      </c>
      <c r="B38" s="42">
        <v>24.8</v>
      </c>
      <c r="C38" s="41">
        <v>20</v>
      </c>
      <c r="D38" s="42">
        <v>1.2</v>
      </c>
      <c r="E38" s="41">
        <f>B38*D38</f>
        <v>29.759999999999998</v>
      </c>
      <c r="F38" s="47"/>
      <c r="G38" s="43" t="s">
        <v>209</v>
      </c>
      <c r="L38" s="17">
        <v>20</v>
      </c>
      <c r="M38" s="28">
        <v>37.700000000000003</v>
      </c>
      <c r="N38" s="23">
        <v>30</v>
      </c>
      <c r="O38" s="28">
        <f t="shared" ref="O38:O45" si="7">M38/L38</f>
        <v>1.8850000000000002</v>
      </c>
      <c r="P38" s="24">
        <v>14.137600000000001</v>
      </c>
      <c r="Q38" s="25"/>
    </row>
    <row r="39" spans="1:17" ht="15.75" thickBot="1" x14ac:dyDescent="0.3">
      <c r="A39" s="41">
        <v>20</v>
      </c>
      <c r="B39" s="42">
        <v>37.200000000000003</v>
      </c>
      <c r="C39" s="45">
        <v>30</v>
      </c>
      <c r="D39" s="42">
        <v>1.821</v>
      </c>
      <c r="E39" s="41">
        <f t="shared" ref="E39:E44" si="8">B39*D39</f>
        <v>67.741200000000006</v>
      </c>
      <c r="F39" s="37"/>
      <c r="G39" s="43" t="s">
        <v>209</v>
      </c>
      <c r="L39" s="17">
        <v>20</v>
      </c>
      <c r="M39" s="28">
        <v>50.3</v>
      </c>
      <c r="N39" s="19">
        <v>40</v>
      </c>
      <c r="O39" s="31">
        <f t="shared" si="7"/>
        <v>2.5149999999999997</v>
      </c>
      <c r="P39" s="20">
        <v>24.8004</v>
      </c>
      <c r="Q39" s="26"/>
    </row>
    <row r="40" spans="1:17" ht="15.75" thickBot="1" x14ac:dyDescent="0.3">
      <c r="A40" s="41">
        <v>20</v>
      </c>
      <c r="B40" s="44"/>
      <c r="C40" s="41">
        <v>40</v>
      </c>
      <c r="D40" s="46"/>
      <c r="E40" s="41">
        <f t="shared" si="8"/>
        <v>0</v>
      </c>
      <c r="F40" s="37" t="s">
        <v>215</v>
      </c>
      <c r="G40" s="46" t="s">
        <v>212</v>
      </c>
      <c r="L40" s="17">
        <v>20</v>
      </c>
      <c r="M40" s="28">
        <v>62.9</v>
      </c>
      <c r="N40" s="23">
        <v>50</v>
      </c>
      <c r="O40" s="31">
        <f t="shared" si="7"/>
        <v>3.145</v>
      </c>
      <c r="P40" s="24">
        <v>38.812899999999999</v>
      </c>
      <c r="Q40" s="25"/>
    </row>
    <row r="41" spans="1:17" ht="15.75" thickBot="1" x14ac:dyDescent="0.3">
      <c r="A41" s="41">
        <v>20</v>
      </c>
      <c r="B41" s="44"/>
      <c r="C41" s="45">
        <v>50</v>
      </c>
      <c r="D41" s="46"/>
      <c r="E41" s="41">
        <f t="shared" si="8"/>
        <v>0</v>
      </c>
      <c r="F41" s="38"/>
      <c r="G41" s="46"/>
      <c r="L41" s="17">
        <v>20</v>
      </c>
      <c r="M41" s="28">
        <v>75.2</v>
      </c>
      <c r="N41" s="19">
        <v>60</v>
      </c>
      <c r="O41" s="31">
        <f t="shared" si="7"/>
        <v>3.7600000000000002</v>
      </c>
      <c r="P41" s="20">
        <v>55.950400000000002</v>
      </c>
      <c r="Q41" s="26"/>
    </row>
    <row r="42" spans="1:17" ht="15.75" thickBot="1" x14ac:dyDescent="0.3">
      <c r="A42" s="41">
        <v>20</v>
      </c>
      <c r="B42" s="44"/>
      <c r="C42" s="41">
        <v>60</v>
      </c>
      <c r="D42" s="46"/>
      <c r="E42" s="41">
        <f t="shared" si="8"/>
        <v>0</v>
      </c>
      <c r="F42" s="39"/>
      <c r="G42" s="44"/>
      <c r="L42" s="17">
        <v>20</v>
      </c>
      <c r="M42" s="28">
        <v>87.3</v>
      </c>
      <c r="N42" s="23">
        <v>70</v>
      </c>
      <c r="O42" s="31">
        <f t="shared" si="7"/>
        <v>4.3650000000000002</v>
      </c>
      <c r="P42" s="24">
        <v>77.264099999999999</v>
      </c>
      <c r="Q42" s="25"/>
    </row>
    <row r="43" spans="1:17" ht="15.75" thickBot="1" x14ac:dyDescent="0.3">
      <c r="A43" s="41">
        <v>20</v>
      </c>
      <c r="B43" s="44"/>
      <c r="C43" s="45">
        <v>70</v>
      </c>
      <c r="D43" s="46"/>
      <c r="E43" s="41">
        <f t="shared" si="8"/>
        <v>0</v>
      </c>
      <c r="F43" s="37"/>
      <c r="G43" s="46"/>
      <c r="L43" s="17">
        <v>20</v>
      </c>
      <c r="M43" s="28">
        <v>100.3</v>
      </c>
      <c r="N43" s="19">
        <v>80</v>
      </c>
      <c r="O43" s="31">
        <f t="shared" si="7"/>
        <v>5.0149999999999997</v>
      </c>
      <c r="P43" s="20">
        <v>99.400899999999993</v>
      </c>
      <c r="Q43" s="26"/>
    </row>
    <row r="44" spans="1:17" ht="15.75" thickBot="1" x14ac:dyDescent="0.3">
      <c r="A44" s="41">
        <v>20</v>
      </c>
      <c r="B44" s="44"/>
      <c r="C44" s="41">
        <v>80</v>
      </c>
      <c r="D44" s="46"/>
      <c r="E44" s="41">
        <f t="shared" si="8"/>
        <v>0</v>
      </c>
      <c r="F44" s="39"/>
      <c r="G44" s="44"/>
      <c r="L44" s="17">
        <v>20</v>
      </c>
      <c r="M44" s="28">
        <v>112.8</v>
      </c>
      <c r="N44" s="23">
        <v>90</v>
      </c>
      <c r="O44" s="31">
        <f t="shared" si="7"/>
        <v>5.64</v>
      </c>
      <c r="P44" s="24">
        <v>125.44</v>
      </c>
      <c r="Q44" s="25"/>
    </row>
    <row r="45" spans="1:17" ht="15.75" thickBot="1" x14ac:dyDescent="0.3">
      <c r="A45" s="41">
        <v>20</v>
      </c>
      <c r="B45" s="44"/>
      <c r="C45" s="45">
        <v>85</v>
      </c>
      <c r="D45" s="46"/>
      <c r="E45" s="41">
        <f>B45*D45</f>
        <v>0</v>
      </c>
      <c r="F45" s="38"/>
      <c r="G45" s="46"/>
      <c r="L45" s="17">
        <v>20</v>
      </c>
      <c r="M45" s="28">
        <v>125.3</v>
      </c>
      <c r="N45" s="19">
        <v>100</v>
      </c>
      <c r="O45" s="31">
        <f t="shared" si="7"/>
        <v>6.2649999999999997</v>
      </c>
      <c r="P45" s="20">
        <v>155.0025</v>
      </c>
      <c r="Q45" s="26"/>
    </row>
    <row r="46" spans="1:17" x14ac:dyDescent="0.25">
      <c r="A46" s="41">
        <v>20</v>
      </c>
      <c r="B46" s="44"/>
      <c r="C46" s="45">
        <v>90</v>
      </c>
      <c r="D46" s="46"/>
      <c r="E46" s="41">
        <f>B46*D46</f>
        <v>0</v>
      </c>
      <c r="F46" s="37"/>
      <c r="G46" s="44"/>
    </row>
    <row r="47" spans="1:17" x14ac:dyDescent="0.25">
      <c r="A47" s="41">
        <v>20</v>
      </c>
      <c r="B47" s="44"/>
      <c r="C47" s="41">
        <v>100</v>
      </c>
      <c r="D47" s="46"/>
      <c r="E47" s="41">
        <f>B47*D47</f>
        <v>0</v>
      </c>
      <c r="F47" s="39"/>
      <c r="G47" s="46"/>
    </row>
    <row r="48" spans="1:17" ht="15.75" thickBot="1" x14ac:dyDescent="0.3">
      <c r="A48" s="92" t="s">
        <v>206</v>
      </c>
      <c r="B48" s="93"/>
      <c r="C48" s="93"/>
      <c r="D48" s="93"/>
      <c r="E48" s="93"/>
      <c r="F48" s="93"/>
    </row>
    <row r="49" spans="1:17" ht="15.75" thickBot="1" x14ac:dyDescent="0.3">
      <c r="A49" s="40" t="s">
        <v>197</v>
      </c>
      <c r="B49" s="40" t="s">
        <v>198</v>
      </c>
      <c r="C49" s="40" t="s">
        <v>199</v>
      </c>
      <c r="D49" s="40" t="s">
        <v>34</v>
      </c>
      <c r="E49" s="40" t="s">
        <v>200</v>
      </c>
      <c r="F49" s="40" t="s">
        <v>208</v>
      </c>
      <c r="G49" s="40" t="s">
        <v>213</v>
      </c>
      <c r="L49" s="14" t="s">
        <v>197</v>
      </c>
      <c r="M49" s="15" t="s">
        <v>198</v>
      </c>
      <c r="N49" s="15" t="s">
        <v>199</v>
      </c>
      <c r="O49" s="15" t="s">
        <v>34</v>
      </c>
      <c r="P49" s="15" t="s">
        <v>200</v>
      </c>
      <c r="Q49" s="16" t="s">
        <v>201</v>
      </c>
    </row>
    <row r="50" spans="1:17" x14ac:dyDescent="0.25">
      <c r="A50" s="41">
        <v>15</v>
      </c>
      <c r="B50" s="42">
        <v>12.4</v>
      </c>
      <c r="C50" s="41">
        <v>10</v>
      </c>
      <c r="D50" s="42">
        <v>0.81299999999999994</v>
      </c>
      <c r="E50" s="52">
        <f>B50*D50</f>
        <v>10.081199999999999</v>
      </c>
      <c r="F50" s="51"/>
      <c r="G50" s="51"/>
      <c r="L50" s="49"/>
      <c r="M50" s="27"/>
      <c r="N50" s="27"/>
      <c r="O50" s="27"/>
      <c r="P50" s="27"/>
      <c r="Q50" s="50"/>
    </row>
    <row r="51" spans="1:17" x14ac:dyDescent="0.25">
      <c r="A51" s="41">
        <v>15</v>
      </c>
      <c r="B51" s="42">
        <v>18.3</v>
      </c>
      <c r="C51" s="41">
        <v>15</v>
      </c>
      <c r="D51" s="42">
        <v>1.1930000000000001</v>
      </c>
      <c r="E51" s="52">
        <f>B51*D51</f>
        <v>21.831900000000001</v>
      </c>
      <c r="F51" s="51"/>
      <c r="G51" s="51"/>
      <c r="L51" s="49"/>
      <c r="M51" s="27"/>
      <c r="N51" s="27"/>
      <c r="O51" s="27"/>
      <c r="P51" s="27"/>
      <c r="Q51" s="50"/>
    </row>
    <row r="52" spans="1:17" x14ac:dyDescent="0.25">
      <c r="A52" s="41">
        <v>15</v>
      </c>
      <c r="B52" s="42">
        <v>20.7</v>
      </c>
      <c r="C52" s="41">
        <v>17</v>
      </c>
      <c r="D52" s="42">
        <v>1.347</v>
      </c>
      <c r="E52" s="52">
        <f>B52*D52</f>
        <v>27.882899999999999</v>
      </c>
      <c r="F52" s="51"/>
      <c r="G52" s="51"/>
      <c r="L52" s="49"/>
      <c r="M52" s="27"/>
      <c r="N52" s="27"/>
      <c r="O52" s="27"/>
      <c r="P52" s="27"/>
      <c r="Q52" s="50"/>
    </row>
    <row r="53" spans="1:17" x14ac:dyDescent="0.25">
      <c r="A53" s="41">
        <v>15</v>
      </c>
      <c r="B53" s="42">
        <v>22</v>
      </c>
      <c r="C53" s="41">
        <v>18</v>
      </c>
      <c r="D53" s="42">
        <v>1.4319999999999999</v>
      </c>
      <c r="E53" s="52">
        <f t="shared" ref="E53:E54" si="9">B53*D53</f>
        <v>31.503999999999998</v>
      </c>
      <c r="F53" s="51"/>
      <c r="G53" s="51"/>
      <c r="L53" s="49"/>
      <c r="M53" s="27"/>
      <c r="N53" s="27"/>
      <c r="O53" s="27"/>
      <c r="P53" s="27"/>
      <c r="Q53" s="50"/>
    </row>
    <row r="54" spans="1:17" ht="15.75" thickBot="1" x14ac:dyDescent="0.3">
      <c r="A54" s="41">
        <v>15</v>
      </c>
      <c r="B54" s="44">
        <v>23.6</v>
      </c>
      <c r="C54" s="41">
        <v>19</v>
      </c>
      <c r="D54" s="44">
        <v>1.53</v>
      </c>
      <c r="E54" s="44">
        <f t="shared" si="9"/>
        <v>36.108000000000004</v>
      </c>
      <c r="F54" s="37" t="s">
        <v>215</v>
      </c>
      <c r="G54" s="43" t="s">
        <v>214</v>
      </c>
      <c r="L54" s="49"/>
      <c r="M54" s="27"/>
      <c r="N54" s="27"/>
      <c r="O54" s="27"/>
      <c r="P54" s="27"/>
      <c r="Q54" s="50"/>
    </row>
    <row r="55" spans="1:17" ht="15.75" thickBot="1" x14ac:dyDescent="0.3">
      <c r="A55" s="41">
        <v>15</v>
      </c>
      <c r="B55" s="44">
        <v>24.6</v>
      </c>
      <c r="C55" s="41">
        <v>20</v>
      </c>
      <c r="D55" s="44">
        <v>1.6</v>
      </c>
      <c r="E55" s="44">
        <f>B55*D55</f>
        <v>39.360000000000007</v>
      </c>
      <c r="F55" s="37" t="s">
        <v>215</v>
      </c>
      <c r="G55" s="43" t="s">
        <v>211</v>
      </c>
      <c r="L55" s="17">
        <v>15</v>
      </c>
      <c r="M55" s="28">
        <v>25.2</v>
      </c>
      <c r="N55" s="19">
        <v>20</v>
      </c>
      <c r="O55" s="28">
        <f>M55/L55</f>
        <v>1.68</v>
      </c>
      <c r="P55" s="20">
        <v>6.25</v>
      </c>
      <c r="Q55" s="21" t="s">
        <v>59</v>
      </c>
    </row>
    <row r="56" spans="1:17" ht="15.75" thickBot="1" x14ac:dyDescent="0.3">
      <c r="A56" s="41">
        <v>15</v>
      </c>
      <c r="B56" s="44"/>
      <c r="C56" s="45">
        <v>30</v>
      </c>
      <c r="D56" s="46"/>
      <c r="E56" s="41">
        <f>B56*D56</f>
        <v>0</v>
      </c>
      <c r="F56" s="37"/>
      <c r="G56" s="43"/>
      <c r="L56" s="17">
        <v>15</v>
      </c>
      <c r="M56" s="28">
        <v>37.700000000000003</v>
      </c>
      <c r="N56" s="23">
        <v>30</v>
      </c>
      <c r="O56" s="28">
        <f t="shared" ref="O56:O63" si="10">M56/L56</f>
        <v>2.5133333333333336</v>
      </c>
      <c r="P56" s="24">
        <v>14.137600000000001</v>
      </c>
      <c r="Q56" s="25"/>
    </row>
    <row r="57" spans="1:17" ht="15.75" thickBot="1" x14ac:dyDescent="0.3">
      <c r="A57" s="41">
        <v>15</v>
      </c>
      <c r="B57" s="44"/>
      <c r="C57" s="41">
        <v>40</v>
      </c>
      <c r="D57" s="46"/>
      <c r="E57" s="41">
        <f t="shared" ref="E57:E61" si="11">B57*D57</f>
        <v>0</v>
      </c>
      <c r="F57" s="38"/>
      <c r="G57" s="43"/>
      <c r="L57" s="17">
        <v>15</v>
      </c>
      <c r="M57" s="28">
        <v>50.3</v>
      </c>
      <c r="N57" s="19">
        <v>40</v>
      </c>
      <c r="O57" s="31">
        <f t="shared" si="10"/>
        <v>3.3533333333333331</v>
      </c>
      <c r="P57" s="20">
        <v>24.8004</v>
      </c>
      <c r="Q57" s="26"/>
    </row>
    <row r="58" spans="1:17" ht="15.75" thickBot="1" x14ac:dyDescent="0.3">
      <c r="A58" s="41">
        <v>15</v>
      </c>
      <c r="B58" s="44"/>
      <c r="C58" s="45">
        <v>50</v>
      </c>
      <c r="D58" s="46"/>
      <c r="E58" s="41">
        <f t="shared" si="11"/>
        <v>0</v>
      </c>
      <c r="F58" s="38"/>
      <c r="G58" s="46"/>
      <c r="L58" s="17">
        <v>15</v>
      </c>
      <c r="M58" s="28">
        <v>62.9</v>
      </c>
      <c r="N58" s="23">
        <v>50</v>
      </c>
      <c r="O58" s="31">
        <f t="shared" si="10"/>
        <v>4.1933333333333334</v>
      </c>
      <c r="P58" s="24">
        <v>38.812899999999999</v>
      </c>
      <c r="Q58" s="25"/>
    </row>
    <row r="59" spans="1:17" ht="15.75" thickBot="1" x14ac:dyDescent="0.3">
      <c r="A59" s="41">
        <v>15</v>
      </c>
      <c r="B59" s="44"/>
      <c r="C59" s="41">
        <v>60</v>
      </c>
      <c r="D59" s="46"/>
      <c r="E59" s="41">
        <f t="shared" si="11"/>
        <v>0</v>
      </c>
      <c r="F59" s="39"/>
      <c r="G59" s="44"/>
      <c r="L59" s="17">
        <v>15</v>
      </c>
      <c r="M59" s="28">
        <v>75.2</v>
      </c>
      <c r="N59" s="19">
        <v>60</v>
      </c>
      <c r="O59" s="31">
        <f t="shared" si="10"/>
        <v>5.0133333333333336</v>
      </c>
      <c r="P59" s="20">
        <v>55.950400000000002</v>
      </c>
      <c r="Q59" s="26"/>
    </row>
    <row r="60" spans="1:17" ht="15.75" thickBot="1" x14ac:dyDescent="0.3">
      <c r="A60" s="41">
        <v>15</v>
      </c>
      <c r="B60" s="44"/>
      <c r="C60" s="45">
        <v>70</v>
      </c>
      <c r="D60" s="46"/>
      <c r="E60" s="41">
        <f t="shared" si="11"/>
        <v>0</v>
      </c>
      <c r="F60" s="37"/>
      <c r="G60" s="46"/>
      <c r="L60" s="17">
        <v>15</v>
      </c>
      <c r="M60" s="28">
        <v>87.3</v>
      </c>
      <c r="N60" s="23">
        <v>70</v>
      </c>
      <c r="O60" s="31">
        <f t="shared" si="10"/>
        <v>5.8199999999999994</v>
      </c>
      <c r="P60" s="24">
        <v>77.264099999999999</v>
      </c>
      <c r="Q60" s="25"/>
    </row>
    <row r="61" spans="1:17" ht="15.75" thickBot="1" x14ac:dyDescent="0.3">
      <c r="A61" s="41">
        <v>15</v>
      </c>
      <c r="B61" s="44"/>
      <c r="C61" s="41">
        <v>80</v>
      </c>
      <c r="D61" s="46"/>
      <c r="E61" s="41">
        <f t="shared" si="11"/>
        <v>0</v>
      </c>
      <c r="F61" s="39"/>
      <c r="G61" s="44"/>
      <c r="L61" s="17">
        <v>15</v>
      </c>
      <c r="M61" s="28">
        <v>100.3</v>
      </c>
      <c r="N61" s="19">
        <v>80</v>
      </c>
      <c r="O61" s="31">
        <f t="shared" si="10"/>
        <v>6.6866666666666665</v>
      </c>
      <c r="P61" s="20">
        <v>99.400899999999993</v>
      </c>
      <c r="Q61" s="26"/>
    </row>
    <row r="62" spans="1:17" ht="15.75" thickBot="1" x14ac:dyDescent="0.3">
      <c r="A62" s="41">
        <v>15</v>
      </c>
      <c r="B62" s="44"/>
      <c r="C62" s="45">
        <v>85</v>
      </c>
      <c r="D62" s="46"/>
      <c r="E62" s="41">
        <f>B62*D62</f>
        <v>0</v>
      </c>
      <c r="F62" s="38"/>
      <c r="G62" s="46"/>
      <c r="L62" s="17">
        <v>15</v>
      </c>
      <c r="M62" s="28">
        <v>112.8</v>
      </c>
      <c r="N62" s="23">
        <v>90</v>
      </c>
      <c r="O62" s="31">
        <f t="shared" si="10"/>
        <v>7.52</v>
      </c>
      <c r="P62" s="24">
        <v>125.44</v>
      </c>
      <c r="Q62" s="25"/>
    </row>
    <row r="63" spans="1:17" ht="15.75" thickBot="1" x14ac:dyDescent="0.3">
      <c r="A63" s="41">
        <v>15</v>
      </c>
      <c r="B63" s="44"/>
      <c r="C63" s="45">
        <v>90</v>
      </c>
      <c r="D63" s="46"/>
      <c r="E63" s="41">
        <f>B63*D63</f>
        <v>0</v>
      </c>
      <c r="F63" s="37"/>
      <c r="G63" s="44"/>
      <c r="L63" s="17">
        <v>15</v>
      </c>
      <c r="M63" s="28">
        <v>125.3</v>
      </c>
      <c r="N63" s="19">
        <v>100</v>
      </c>
      <c r="O63" s="31">
        <f t="shared" si="10"/>
        <v>8.3533333333333335</v>
      </c>
      <c r="P63" s="20">
        <v>155.0025</v>
      </c>
      <c r="Q63" s="26"/>
    </row>
    <row r="64" spans="1:17" x14ac:dyDescent="0.25">
      <c r="A64" s="41">
        <v>15</v>
      </c>
      <c r="B64" s="44"/>
      <c r="C64" s="41">
        <v>100</v>
      </c>
      <c r="D64" s="46"/>
      <c r="E64" s="41">
        <f>B64*D64</f>
        <v>0</v>
      </c>
      <c r="F64" s="39"/>
      <c r="G64" s="46"/>
    </row>
  </sheetData>
  <mergeCells count="5">
    <mergeCell ref="A1:F1"/>
    <mergeCell ref="A12:F12"/>
    <mergeCell ref="A24:F24"/>
    <mergeCell ref="A36:F36"/>
    <mergeCell ref="A48:F4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6E27-1F28-40E5-BF98-9F041A4B7610}">
  <dimension ref="A1:Q22"/>
  <sheetViews>
    <sheetView workbookViewId="0">
      <selection activeCell="F21" sqref="F21"/>
    </sheetView>
  </sheetViews>
  <sheetFormatPr defaultRowHeight="15" x14ac:dyDescent="0.25"/>
  <cols>
    <col min="5" max="5" width="10.28515625" customWidth="1"/>
    <col min="6" max="6" width="18.5703125" customWidth="1"/>
  </cols>
  <sheetData>
    <row r="1" spans="1:17" ht="15.75" thickBot="1" x14ac:dyDescent="0.3">
      <c r="A1" s="95" t="s">
        <v>207</v>
      </c>
      <c r="B1" s="96"/>
      <c r="C1" s="96"/>
      <c r="D1" s="96"/>
      <c r="E1" s="96"/>
      <c r="F1" s="96"/>
      <c r="L1" t="s">
        <v>203</v>
      </c>
    </row>
    <row r="2" spans="1:17" ht="15.75" thickBot="1" x14ac:dyDescent="0.3">
      <c r="A2" s="14" t="s">
        <v>197</v>
      </c>
      <c r="B2" s="15" t="s">
        <v>198</v>
      </c>
      <c r="C2" s="15" t="s">
        <v>199</v>
      </c>
      <c r="D2" s="15" t="s">
        <v>34</v>
      </c>
      <c r="E2" s="15" t="s">
        <v>200</v>
      </c>
      <c r="F2" s="16" t="s">
        <v>201</v>
      </c>
      <c r="G2" s="27" t="s">
        <v>202</v>
      </c>
      <c r="H2" s="29" t="s">
        <v>205</v>
      </c>
      <c r="L2" s="14" t="s">
        <v>197</v>
      </c>
      <c r="M2" s="15" t="s">
        <v>198</v>
      </c>
      <c r="N2" s="15" t="s">
        <v>199</v>
      </c>
      <c r="O2" s="15" t="s">
        <v>34</v>
      </c>
      <c r="P2" s="15" t="s">
        <v>200</v>
      </c>
      <c r="Q2" s="16" t="s">
        <v>201</v>
      </c>
    </row>
    <row r="3" spans="1:17" ht="39" thickBot="1" x14ac:dyDescent="0.3">
      <c r="A3" s="17">
        <v>100</v>
      </c>
      <c r="B3" s="18">
        <v>25.2</v>
      </c>
      <c r="C3" s="19">
        <v>20</v>
      </c>
      <c r="D3" s="42">
        <v>0.25</v>
      </c>
      <c r="E3" s="20">
        <v>6.25</v>
      </c>
      <c r="F3" s="21"/>
      <c r="G3">
        <v>1.5</v>
      </c>
      <c r="H3" s="30" t="s">
        <v>204</v>
      </c>
      <c r="L3" s="17">
        <v>25</v>
      </c>
      <c r="M3" s="28">
        <v>25.2</v>
      </c>
      <c r="N3" s="19">
        <v>20</v>
      </c>
      <c r="O3" s="28">
        <f>M3/L3</f>
        <v>1.008</v>
      </c>
      <c r="P3" s="20">
        <f>M3*O3</f>
        <v>25.401599999999998</v>
      </c>
      <c r="Q3" s="21" t="s">
        <v>59</v>
      </c>
    </row>
    <row r="4" spans="1:17" ht="15.75" thickBot="1" x14ac:dyDescent="0.3">
      <c r="A4" s="22">
        <v>100</v>
      </c>
      <c r="B4" s="18">
        <v>37.700000000000003</v>
      </c>
      <c r="C4" s="23">
        <v>30</v>
      </c>
      <c r="D4" s="42">
        <v>0.376</v>
      </c>
      <c r="E4" s="24">
        <v>14.137600000000001</v>
      </c>
      <c r="F4" s="25"/>
      <c r="L4" s="17">
        <v>25</v>
      </c>
      <c r="M4" s="28">
        <v>37.700000000000003</v>
      </c>
      <c r="N4" s="23">
        <v>30</v>
      </c>
      <c r="O4" s="28">
        <f t="shared" ref="O4:O11" si="0">M4/L4</f>
        <v>1.508</v>
      </c>
      <c r="P4" s="20">
        <f t="shared" ref="P4:P11" si="1">M4*O4</f>
        <v>56.851600000000005</v>
      </c>
      <c r="Q4" s="25"/>
    </row>
    <row r="5" spans="1:17" ht="15.75" thickBot="1" x14ac:dyDescent="0.3">
      <c r="A5" s="17">
        <v>100</v>
      </c>
      <c r="B5" s="18">
        <v>50.3</v>
      </c>
      <c r="C5" s="19">
        <v>40</v>
      </c>
      <c r="D5" s="42">
        <v>0.498</v>
      </c>
      <c r="E5" s="20">
        <v>24.8004</v>
      </c>
      <c r="F5" s="26"/>
      <c r="L5" s="17">
        <v>25</v>
      </c>
      <c r="M5" s="28">
        <v>50.3</v>
      </c>
      <c r="N5" s="19">
        <v>40</v>
      </c>
      <c r="O5" s="28">
        <f t="shared" si="0"/>
        <v>2.012</v>
      </c>
      <c r="P5" s="20">
        <f t="shared" si="1"/>
        <v>101.20359999999999</v>
      </c>
      <c r="Q5" s="26"/>
    </row>
    <row r="6" spans="1:17" ht="15.75" thickBot="1" x14ac:dyDescent="0.3">
      <c r="A6" s="22">
        <v>100</v>
      </c>
      <c r="B6" s="18">
        <v>62.9</v>
      </c>
      <c r="C6" s="23">
        <v>50</v>
      </c>
      <c r="D6" s="42">
        <v>0.623</v>
      </c>
      <c r="E6" s="24">
        <v>38.812899999999999</v>
      </c>
      <c r="F6" s="25"/>
      <c r="L6" s="17">
        <v>25</v>
      </c>
      <c r="M6" s="28">
        <v>62.9</v>
      </c>
      <c r="N6" s="23">
        <v>50</v>
      </c>
      <c r="O6" s="31">
        <f t="shared" si="0"/>
        <v>2.516</v>
      </c>
      <c r="P6" s="20">
        <f t="shared" si="1"/>
        <v>158.25639999999999</v>
      </c>
      <c r="Q6" s="25"/>
    </row>
    <row r="7" spans="1:17" ht="15.75" thickBot="1" x14ac:dyDescent="0.3">
      <c r="A7" s="17">
        <v>100</v>
      </c>
      <c r="B7" s="18">
        <v>75.2</v>
      </c>
      <c r="C7" s="19">
        <v>60</v>
      </c>
      <c r="D7" s="42">
        <v>0.748</v>
      </c>
      <c r="E7" s="20">
        <v>55.950400000000002</v>
      </c>
      <c r="F7" s="26"/>
      <c r="L7" s="17">
        <v>25</v>
      </c>
      <c r="M7" s="28">
        <v>75.2</v>
      </c>
      <c r="N7" s="19">
        <v>60</v>
      </c>
      <c r="O7" s="31">
        <f t="shared" si="0"/>
        <v>3.008</v>
      </c>
      <c r="P7" s="20">
        <f t="shared" si="1"/>
        <v>226.20160000000001</v>
      </c>
      <c r="Q7" s="26"/>
    </row>
    <row r="8" spans="1:17" ht="15.75" thickBot="1" x14ac:dyDescent="0.3">
      <c r="A8" s="22">
        <v>100</v>
      </c>
      <c r="B8" s="18">
        <v>87.3</v>
      </c>
      <c r="C8" s="23">
        <v>70</v>
      </c>
      <c r="D8" s="42">
        <v>0.879</v>
      </c>
      <c r="E8" s="24">
        <v>77.264099999999999</v>
      </c>
      <c r="F8" s="25"/>
      <c r="L8" s="17">
        <v>25</v>
      </c>
      <c r="M8" s="28">
        <v>87.3</v>
      </c>
      <c r="N8" s="23">
        <v>70</v>
      </c>
      <c r="O8" s="31">
        <f t="shared" si="0"/>
        <v>3.492</v>
      </c>
      <c r="P8" s="20">
        <f t="shared" si="1"/>
        <v>304.85159999999996</v>
      </c>
      <c r="Q8" s="25"/>
    </row>
    <row r="9" spans="1:17" ht="15.75" thickBot="1" x14ac:dyDescent="0.3">
      <c r="A9" s="17">
        <v>100</v>
      </c>
      <c r="B9" s="18">
        <v>100.3</v>
      </c>
      <c r="C9" s="19">
        <v>80</v>
      </c>
      <c r="D9" s="42">
        <v>0.997</v>
      </c>
      <c r="E9" s="20">
        <v>99.400899999999993</v>
      </c>
      <c r="F9" s="26"/>
      <c r="L9" s="17">
        <v>25</v>
      </c>
      <c r="M9" s="28">
        <v>100.3</v>
      </c>
      <c r="N9" s="19">
        <v>80</v>
      </c>
      <c r="O9" s="31">
        <f t="shared" si="0"/>
        <v>4.0119999999999996</v>
      </c>
      <c r="P9" s="20">
        <f t="shared" si="1"/>
        <v>402.40359999999993</v>
      </c>
      <c r="Q9" s="26"/>
    </row>
    <row r="10" spans="1:17" ht="15.75" thickBot="1" x14ac:dyDescent="0.3">
      <c r="A10" s="22">
        <v>100</v>
      </c>
      <c r="B10" s="18">
        <v>112.8</v>
      </c>
      <c r="C10" s="23">
        <v>90</v>
      </c>
      <c r="D10" s="42">
        <v>1.1200000000000001</v>
      </c>
      <c r="E10" s="24">
        <v>125.44</v>
      </c>
      <c r="F10" s="25"/>
      <c r="L10" s="17">
        <v>25</v>
      </c>
      <c r="M10" s="28">
        <v>112.8</v>
      </c>
      <c r="N10" s="23">
        <v>90</v>
      </c>
      <c r="O10" s="31">
        <f t="shared" si="0"/>
        <v>4.5119999999999996</v>
      </c>
      <c r="P10" s="20">
        <f t="shared" si="1"/>
        <v>508.95359999999994</v>
      </c>
      <c r="Q10" s="25"/>
    </row>
    <row r="11" spans="1:17" ht="15.75" thickBot="1" x14ac:dyDescent="0.3">
      <c r="A11" s="17">
        <v>100</v>
      </c>
      <c r="B11" s="18">
        <v>125.3</v>
      </c>
      <c r="C11" s="19">
        <v>100</v>
      </c>
      <c r="D11" s="42">
        <v>1.2450000000000001</v>
      </c>
      <c r="E11" s="20">
        <v>155.0025</v>
      </c>
      <c r="F11" s="26"/>
      <c r="L11" s="17">
        <v>25</v>
      </c>
      <c r="M11" s="28">
        <v>125.3</v>
      </c>
      <c r="N11" s="19">
        <v>100</v>
      </c>
      <c r="O11" s="31">
        <f t="shared" si="0"/>
        <v>5.0119999999999996</v>
      </c>
      <c r="P11" s="20">
        <f t="shared" si="1"/>
        <v>628.00359999999989</v>
      </c>
      <c r="Q11" s="26"/>
    </row>
    <row r="12" spans="1:17" ht="15.75" thickBot="1" x14ac:dyDescent="0.3">
      <c r="A12" s="95" t="s">
        <v>207</v>
      </c>
      <c r="B12" s="96"/>
      <c r="C12" s="96"/>
      <c r="D12" s="96"/>
      <c r="E12" s="96"/>
      <c r="F12" s="96"/>
    </row>
    <row r="13" spans="1:17" ht="15.75" thickBot="1" x14ac:dyDescent="0.3">
      <c r="A13" s="14" t="s">
        <v>197</v>
      </c>
      <c r="B13" s="15" t="s">
        <v>198</v>
      </c>
      <c r="C13" s="15" t="s">
        <v>199</v>
      </c>
      <c r="D13" s="15" t="s">
        <v>34</v>
      </c>
      <c r="E13" s="15" t="s">
        <v>200</v>
      </c>
      <c r="F13" s="16" t="s">
        <v>208</v>
      </c>
      <c r="G13" s="27" t="s">
        <v>210</v>
      </c>
    </row>
    <row r="14" spans="1:17" ht="15.75" thickBot="1" x14ac:dyDescent="0.3">
      <c r="A14" s="17">
        <v>50</v>
      </c>
      <c r="B14" s="18">
        <v>25</v>
      </c>
      <c r="C14" s="19">
        <v>20</v>
      </c>
      <c r="D14" s="18">
        <v>0.496</v>
      </c>
      <c r="E14" s="20">
        <f>B14*D14</f>
        <v>12.4</v>
      </c>
      <c r="F14" s="21"/>
      <c r="G14" s="33" t="s">
        <v>209</v>
      </c>
    </row>
    <row r="15" spans="1:17" ht="15.75" thickBot="1" x14ac:dyDescent="0.3">
      <c r="A15" s="22">
        <v>50</v>
      </c>
      <c r="B15" s="18">
        <v>37.700000000000003</v>
      </c>
      <c r="C15" s="23">
        <v>30</v>
      </c>
      <c r="D15" s="18">
        <v>0.74299999999999999</v>
      </c>
      <c r="E15" s="20">
        <f t="shared" ref="E15:E22" si="2">B15*D15</f>
        <v>28.011100000000003</v>
      </c>
      <c r="F15" s="25"/>
      <c r="G15" s="33" t="s">
        <v>209</v>
      </c>
    </row>
    <row r="16" spans="1:17" ht="15.75" thickBot="1" x14ac:dyDescent="0.3">
      <c r="A16" s="17">
        <v>50</v>
      </c>
      <c r="B16" s="18">
        <v>50</v>
      </c>
      <c r="C16" s="19">
        <v>40</v>
      </c>
      <c r="D16" s="18">
        <v>0.98599999999999999</v>
      </c>
      <c r="E16" s="20">
        <f t="shared" si="2"/>
        <v>49.3</v>
      </c>
      <c r="F16" s="26"/>
      <c r="G16" s="33" t="s">
        <v>209</v>
      </c>
    </row>
    <row r="17" spans="1:7" ht="15.75" thickBot="1" x14ac:dyDescent="0.3">
      <c r="A17" s="22">
        <v>50</v>
      </c>
      <c r="B17" s="18">
        <v>62.7</v>
      </c>
      <c r="C17" s="23">
        <v>50</v>
      </c>
      <c r="D17" s="18">
        <v>1.21</v>
      </c>
      <c r="E17" s="20">
        <f t="shared" si="2"/>
        <v>75.867000000000004</v>
      </c>
      <c r="F17" s="25"/>
      <c r="G17" s="33" t="s">
        <v>209</v>
      </c>
    </row>
    <row r="18" spans="1:7" ht="15.75" thickBot="1" x14ac:dyDescent="0.3">
      <c r="A18" s="17">
        <v>50</v>
      </c>
      <c r="B18" s="18">
        <v>75.2</v>
      </c>
      <c r="C18" s="19">
        <v>60</v>
      </c>
      <c r="D18" s="18">
        <v>1.4450000000000001</v>
      </c>
      <c r="E18" s="20">
        <f t="shared" si="2"/>
        <v>108.66400000000002</v>
      </c>
      <c r="F18" s="26"/>
      <c r="G18" s="33" t="s">
        <v>209</v>
      </c>
    </row>
    <row r="19" spans="1:7" ht="15.75" thickBot="1" x14ac:dyDescent="0.3">
      <c r="A19" s="22">
        <v>50</v>
      </c>
      <c r="B19" s="18">
        <v>87.6</v>
      </c>
      <c r="C19" s="23">
        <v>70</v>
      </c>
      <c r="D19" s="32">
        <v>1.7210000000000001</v>
      </c>
      <c r="E19" s="20">
        <f t="shared" si="2"/>
        <v>150.75960000000001</v>
      </c>
      <c r="F19" s="25"/>
      <c r="G19" s="33" t="s">
        <v>209</v>
      </c>
    </row>
    <row r="20" spans="1:7" ht="15.75" thickBot="1" x14ac:dyDescent="0.3">
      <c r="A20" s="17">
        <v>50</v>
      </c>
      <c r="B20" s="18">
        <v>100.3</v>
      </c>
      <c r="C20" s="19">
        <v>80</v>
      </c>
      <c r="D20" s="32">
        <v>1.96</v>
      </c>
      <c r="E20" s="20">
        <f t="shared" si="2"/>
        <v>196.58799999999999</v>
      </c>
      <c r="F20" s="26"/>
      <c r="G20" s="33" t="s">
        <v>209</v>
      </c>
    </row>
    <row r="21" spans="1:7" ht="15.75" thickBot="1" x14ac:dyDescent="0.3">
      <c r="A21" s="22">
        <v>50</v>
      </c>
      <c r="B21" s="31"/>
      <c r="C21" s="23">
        <v>90</v>
      </c>
      <c r="D21" s="31"/>
      <c r="E21" s="20">
        <f t="shared" si="2"/>
        <v>0</v>
      </c>
      <c r="F21" s="25" t="s">
        <v>219</v>
      </c>
    </row>
    <row r="22" spans="1:7" ht="15.75" thickBot="1" x14ac:dyDescent="0.3">
      <c r="A22" s="17">
        <v>50</v>
      </c>
      <c r="B22" s="31"/>
      <c r="C22" s="19">
        <v>100</v>
      </c>
      <c r="D22" s="31"/>
      <c r="E22" s="20">
        <f t="shared" si="2"/>
        <v>0</v>
      </c>
      <c r="F22" s="26"/>
    </row>
  </sheetData>
  <mergeCells count="2">
    <mergeCell ref="A1:F1"/>
    <mergeCell ref="A12:F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28F1-BB01-4E97-9001-2323B6517505}">
  <dimension ref="A1:AC54"/>
  <sheetViews>
    <sheetView topLeftCell="A25" workbookViewId="0">
      <selection activeCell="T30" sqref="T30"/>
    </sheetView>
  </sheetViews>
  <sheetFormatPr defaultRowHeight="15" x14ac:dyDescent="0.25"/>
  <cols>
    <col min="5" max="5" width="10.28515625" customWidth="1"/>
    <col min="6" max="6" width="17.140625" customWidth="1"/>
    <col min="7" max="7" width="5.85546875" customWidth="1"/>
    <col min="8" max="8" width="4" customWidth="1"/>
    <col min="14" max="14" width="15.85546875" customWidth="1"/>
    <col min="15" max="15" width="6.28515625" customWidth="1"/>
    <col min="16" max="16" width="4" customWidth="1"/>
    <col min="22" max="22" width="20.42578125" customWidth="1"/>
    <col min="23" max="23" width="6.85546875" customWidth="1"/>
  </cols>
  <sheetData>
    <row r="1" spans="1:29" x14ac:dyDescent="0.25">
      <c r="A1" t="s">
        <v>216</v>
      </c>
      <c r="B1" t="s">
        <v>217</v>
      </c>
    </row>
    <row r="3" spans="1:29" ht="15" customHeight="1" x14ac:dyDescent="0.25">
      <c r="A3" s="92" t="s">
        <v>206</v>
      </c>
      <c r="B3" s="93"/>
      <c r="C3" s="93"/>
      <c r="D3" s="93"/>
      <c r="E3" s="93"/>
      <c r="F3" s="93"/>
      <c r="I3" s="92" t="s">
        <v>207</v>
      </c>
      <c r="J3" s="93"/>
      <c r="K3" s="93"/>
      <c r="L3" s="93"/>
      <c r="M3" s="93"/>
      <c r="N3" s="93"/>
      <c r="Q3" s="100" t="s">
        <v>218</v>
      </c>
      <c r="R3" s="101"/>
      <c r="S3" s="101"/>
      <c r="T3" s="101"/>
      <c r="U3" s="101"/>
      <c r="V3" s="101"/>
      <c r="W3" s="101"/>
    </row>
    <row r="4" spans="1:29" ht="15" customHeight="1" x14ac:dyDescent="0.25">
      <c r="A4" s="40" t="s">
        <v>197</v>
      </c>
      <c r="B4" s="40" t="s">
        <v>198</v>
      </c>
      <c r="C4" s="40" t="s">
        <v>199</v>
      </c>
      <c r="D4" s="40" t="s">
        <v>34</v>
      </c>
      <c r="E4" s="40" t="s">
        <v>200</v>
      </c>
      <c r="F4" s="40" t="s">
        <v>208</v>
      </c>
      <c r="G4" s="40" t="s">
        <v>210</v>
      </c>
      <c r="H4" s="38"/>
      <c r="I4" s="40" t="s">
        <v>197</v>
      </c>
      <c r="J4" s="40" t="s">
        <v>198</v>
      </c>
      <c r="K4" s="40" t="s">
        <v>199</v>
      </c>
      <c r="L4" s="40" t="s">
        <v>34</v>
      </c>
      <c r="M4" s="40" t="s">
        <v>200</v>
      </c>
      <c r="N4" s="40" t="s">
        <v>208</v>
      </c>
      <c r="O4" s="40" t="s">
        <v>210</v>
      </c>
      <c r="Q4" s="40" t="s">
        <v>197</v>
      </c>
      <c r="R4" s="40" t="s">
        <v>198</v>
      </c>
      <c r="S4" s="40" t="s">
        <v>199</v>
      </c>
      <c r="T4" s="40" t="s">
        <v>34</v>
      </c>
      <c r="U4" s="40" t="s">
        <v>200</v>
      </c>
      <c r="V4" s="40" t="s">
        <v>208</v>
      </c>
      <c r="W4" s="40" t="s">
        <v>210</v>
      </c>
      <c r="Y4" s="36"/>
      <c r="Z4" s="36"/>
      <c r="AA4" s="36"/>
      <c r="AB4" s="36"/>
      <c r="AC4" s="36"/>
    </row>
    <row r="5" spans="1:29" x14ac:dyDescent="0.25">
      <c r="A5" s="41">
        <v>100</v>
      </c>
      <c r="B5" s="42">
        <v>25.2</v>
      </c>
      <c r="C5" s="41">
        <v>20</v>
      </c>
      <c r="D5" s="58">
        <v>0.25</v>
      </c>
      <c r="E5" s="41">
        <v>6.25</v>
      </c>
      <c r="F5" s="47"/>
      <c r="G5" s="43" t="s">
        <v>209</v>
      </c>
      <c r="H5" s="38"/>
      <c r="I5" s="41">
        <v>100</v>
      </c>
      <c r="J5" s="42">
        <v>25.2</v>
      </c>
      <c r="K5" s="41">
        <v>20</v>
      </c>
      <c r="L5" s="58">
        <v>0.25</v>
      </c>
      <c r="M5" s="41">
        <v>6.25</v>
      </c>
      <c r="N5" s="47"/>
      <c r="O5" s="43" t="s">
        <v>209</v>
      </c>
      <c r="Q5" s="41">
        <v>50</v>
      </c>
      <c r="R5" s="42">
        <v>25.2</v>
      </c>
      <c r="S5" s="41">
        <v>20</v>
      </c>
      <c r="T5" s="58">
        <v>0.5</v>
      </c>
      <c r="U5" s="41">
        <f>R5*T5</f>
        <v>12.6</v>
      </c>
      <c r="V5" s="47"/>
      <c r="W5" s="43" t="s">
        <v>209</v>
      </c>
      <c r="Y5" s="60"/>
      <c r="Z5" s="60"/>
      <c r="AA5" s="60"/>
      <c r="AB5" s="60"/>
      <c r="AC5" s="60"/>
    </row>
    <row r="6" spans="1:29" x14ac:dyDescent="0.25">
      <c r="A6" s="45">
        <v>100</v>
      </c>
      <c r="B6" s="42">
        <v>37.700000000000003</v>
      </c>
      <c r="C6" s="45">
        <v>30</v>
      </c>
      <c r="D6" s="58">
        <v>0.376</v>
      </c>
      <c r="E6" s="45">
        <v>14.137600000000001</v>
      </c>
      <c r="F6" s="37"/>
      <c r="G6" s="43" t="s">
        <v>209</v>
      </c>
      <c r="H6" s="38"/>
      <c r="I6" s="45">
        <v>100</v>
      </c>
      <c r="J6" s="42">
        <v>37.700000000000003</v>
      </c>
      <c r="K6" s="45">
        <v>30</v>
      </c>
      <c r="L6" s="58">
        <v>0.376</v>
      </c>
      <c r="M6" s="45">
        <v>14.137600000000001</v>
      </c>
      <c r="N6" s="37"/>
      <c r="O6" s="43" t="s">
        <v>209</v>
      </c>
      <c r="Q6" s="45">
        <v>50</v>
      </c>
      <c r="R6" s="42">
        <v>37.700000000000003</v>
      </c>
      <c r="S6" s="45">
        <v>30</v>
      </c>
      <c r="T6" s="58">
        <v>0.752</v>
      </c>
      <c r="U6" s="41">
        <f t="shared" ref="U6:U13" si="0">R6*T6</f>
        <v>28.3504</v>
      </c>
      <c r="V6" s="37"/>
      <c r="W6" s="43" t="s">
        <v>209</v>
      </c>
      <c r="Y6" s="60"/>
      <c r="Z6" s="60"/>
      <c r="AA6" s="60"/>
      <c r="AB6" s="60"/>
      <c r="AC6" s="60"/>
    </row>
    <row r="7" spans="1:29" x14ac:dyDescent="0.25">
      <c r="A7" s="41">
        <v>100</v>
      </c>
      <c r="B7" s="42">
        <v>50.3</v>
      </c>
      <c r="C7" s="41">
        <v>40</v>
      </c>
      <c r="D7" s="58">
        <v>0.498</v>
      </c>
      <c r="E7" s="41">
        <v>24.8004</v>
      </c>
      <c r="F7" s="39"/>
      <c r="G7" s="43" t="s">
        <v>209</v>
      </c>
      <c r="H7" s="38"/>
      <c r="I7" s="41">
        <v>100</v>
      </c>
      <c r="J7" s="42">
        <v>50.3</v>
      </c>
      <c r="K7" s="41">
        <v>40</v>
      </c>
      <c r="L7" s="58">
        <v>0.498</v>
      </c>
      <c r="M7" s="41">
        <v>24.8004</v>
      </c>
      <c r="N7" s="39"/>
      <c r="O7" s="43" t="s">
        <v>209</v>
      </c>
      <c r="Q7" s="41">
        <v>50</v>
      </c>
      <c r="R7" s="42">
        <v>50.3</v>
      </c>
      <c r="S7" s="41">
        <v>40</v>
      </c>
      <c r="T7" s="58">
        <v>0.996</v>
      </c>
      <c r="U7" s="41">
        <f t="shared" si="0"/>
        <v>50.098799999999997</v>
      </c>
      <c r="V7" s="39"/>
      <c r="W7" s="43" t="s">
        <v>209</v>
      </c>
      <c r="Y7" s="60"/>
      <c r="Z7" s="60"/>
      <c r="AA7" s="60"/>
      <c r="AB7" s="60"/>
      <c r="AC7" s="60"/>
    </row>
    <row r="8" spans="1:29" x14ac:dyDescent="0.25">
      <c r="A8" s="45">
        <v>100</v>
      </c>
      <c r="B8" s="42">
        <v>62.9</v>
      </c>
      <c r="C8" s="45">
        <v>50</v>
      </c>
      <c r="D8" s="58">
        <v>0.623</v>
      </c>
      <c r="E8" s="45">
        <v>38.812899999999999</v>
      </c>
      <c r="F8" s="37"/>
      <c r="G8" s="43" t="s">
        <v>209</v>
      </c>
      <c r="H8" s="38"/>
      <c r="I8" s="45">
        <v>100</v>
      </c>
      <c r="J8" s="42">
        <v>62.9</v>
      </c>
      <c r="K8" s="45">
        <v>50</v>
      </c>
      <c r="L8" s="58">
        <v>0.623</v>
      </c>
      <c r="M8" s="45">
        <v>38.812899999999999</v>
      </c>
      <c r="N8" s="37"/>
      <c r="O8" s="43" t="s">
        <v>209</v>
      </c>
      <c r="Q8" s="45">
        <v>50</v>
      </c>
      <c r="R8" s="42">
        <v>62.9</v>
      </c>
      <c r="S8" s="45">
        <v>50</v>
      </c>
      <c r="T8" s="58">
        <v>1.246</v>
      </c>
      <c r="U8" s="41">
        <f t="shared" si="0"/>
        <v>78.373400000000004</v>
      </c>
      <c r="V8" s="37"/>
      <c r="W8" s="43" t="s">
        <v>209</v>
      </c>
      <c r="Y8" s="60"/>
      <c r="Z8" s="60"/>
      <c r="AA8" s="60"/>
      <c r="AB8" s="60"/>
      <c r="AC8" s="60"/>
    </row>
    <row r="9" spans="1:29" ht="15.75" thickBot="1" x14ac:dyDescent="0.3">
      <c r="A9" s="41">
        <v>100</v>
      </c>
      <c r="B9" s="42">
        <v>75.2</v>
      </c>
      <c r="C9" s="41">
        <v>60</v>
      </c>
      <c r="D9" s="58">
        <v>0.748</v>
      </c>
      <c r="E9" s="41">
        <v>55.950400000000002</v>
      </c>
      <c r="F9" s="39"/>
      <c r="G9" s="43" t="s">
        <v>209</v>
      </c>
      <c r="H9" s="38"/>
      <c r="I9" s="41">
        <v>100</v>
      </c>
      <c r="J9" s="42">
        <v>75.2</v>
      </c>
      <c r="K9" s="41">
        <v>60</v>
      </c>
      <c r="L9" s="58">
        <v>0.748</v>
      </c>
      <c r="M9" s="41">
        <v>55.950400000000002</v>
      </c>
      <c r="N9" s="39"/>
      <c r="O9" s="43" t="s">
        <v>209</v>
      </c>
      <c r="Q9" s="41">
        <v>50</v>
      </c>
      <c r="R9" s="42">
        <v>75.2</v>
      </c>
      <c r="S9" s="41">
        <v>60</v>
      </c>
      <c r="T9" s="58">
        <v>1.496</v>
      </c>
      <c r="U9" s="41">
        <f t="shared" si="0"/>
        <v>112.4992</v>
      </c>
      <c r="V9" s="39"/>
      <c r="W9" s="43" t="s">
        <v>209</v>
      </c>
      <c r="Y9" s="60"/>
      <c r="Z9" s="60"/>
      <c r="AA9" s="60"/>
      <c r="AB9" s="60"/>
      <c r="AC9" s="60"/>
    </row>
    <row r="10" spans="1:29" ht="26.25" thickBot="1" x14ac:dyDescent="0.3">
      <c r="A10" s="45">
        <v>100</v>
      </c>
      <c r="B10" s="42">
        <v>87.3</v>
      </c>
      <c r="C10" s="45">
        <v>70</v>
      </c>
      <c r="D10" s="58">
        <v>0.879</v>
      </c>
      <c r="E10" s="45">
        <v>77.264099999999999</v>
      </c>
      <c r="F10" s="37"/>
      <c r="G10" s="43" t="s">
        <v>209</v>
      </c>
      <c r="H10" s="38"/>
      <c r="I10" s="45">
        <v>100</v>
      </c>
      <c r="J10" s="42">
        <v>87.3</v>
      </c>
      <c r="K10" s="45">
        <v>70</v>
      </c>
      <c r="L10" s="58">
        <v>0.879</v>
      </c>
      <c r="M10" s="45">
        <v>77.264099999999999</v>
      </c>
      <c r="N10" s="37"/>
      <c r="O10" s="43" t="s">
        <v>209</v>
      </c>
      <c r="Q10" s="55">
        <v>50</v>
      </c>
      <c r="R10" s="42">
        <v>87.3</v>
      </c>
      <c r="S10" s="55">
        <v>70</v>
      </c>
      <c r="T10" s="58">
        <v>1.758</v>
      </c>
      <c r="U10" s="55">
        <f t="shared" si="0"/>
        <v>153.4734</v>
      </c>
      <c r="V10" s="56" t="s">
        <v>220</v>
      </c>
      <c r="W10" s="43" t="s">
        <v>209</v>
      </c>
      <c r="Y10" s="60"/>
      <c r="Z10" s="60"/>
      <c r="AA10" s="60"/>
      <c r="AB10" s="60"/>
      <c r="AC10" s="60"/>
    </row>
    <row r="11" spans="1:29" x14ac:dyDescent="0.25">
      <c r="A11" s="41">
        <v>100</v>
      </c>
      <c r="B11" s="42">
        <v>100.3</v>
      </c>
      <c r="C11" s="41">
        <v>80</v>
      </c>
      <c r="D11" s="58">
        <v>0.997</v>
      </c>
      <c r="E11" s="41">
        <v>99.400899999999993</v>
      </c>
      <c r="F11" s="39"/>
      <c r="G11" s="43" t="s">
        <v>209</v>
      </c>
      <c r="H11" s="38"/>
      <c r="I11" s="41">
        <v>100</v>
      </c>
      <c r="J11" s="42">
        <v>100.3</v>
      </c>
      <c r="K11" s="41">
        <v>80</v>
      </c>
      <c r="L11" s="58">
        <v>0.997</v>
      </c>
      <c r="M11" s="41">
        <v>99.400899999999993</v>
      </c>
      <c r="N11" s="39"/>
      <c r="O11" s="43" t="s">
        <v>209</v>
      </c>
      <c r="Q11" s="52">
        <v>50</v>
      </c>
      <c r="R11" s="42">
        <v>100.3</v>
      </c>
      <c r="S11" s="52">
        <v>80</v>
      </c>
      <c r="T11" s="58">
        <v>1.994</v>
      </c>
      <c r="U11" s="52">
        <f t="shared" si="0"/>
        <v>199.9982</v>
      </c>
      <c r="V11" s="57"/>
      <c r="W11" s="43" t="s">
        <v>209</v>
      </c>
      <c r="Y11" s="60"/>
      <c r="Z11" s="60"/>
      <c r="AA11" s="60"/>
      <c r="AB11" s="60"/>
      <c r="AC11" s="60"/>
    </row>
    <row r="12" spans="1:29" x14ac:dyDescent="0.25">
      <c r="A12" s="45">
        <v>100</v>
      </c>
      <c r="B12" s="42">
        <v>112.8</v>
      </c>
      <c r="C12" s="45">
        <v>90</v>
      </c>
      <c r="D12" s="58">
        <v>1.1200000000000001</v>
      </c>
      <c r="E12" s="45">
        <v>125.44</v>
      </c>
      <c r="F12" s="37"/>
      <c r="G12" s="43" t="s">
        <v>209</v>
      </c>
      <c r="H12" s="38"/>
      <c r="I12" s="45">
        <v>100</v>
      </c>
      <c r="J12" s="42">
        <v>112.8</v>
      </c>
      <c r="K12" s="45">
        <v>90</v>
      </c>
      <c r="L12" s="58">
        <v>1.1200000000000001</v>
      </c>
      <c r="M12" s="45">
        <v>125.44</v>
      </c>
      <c r="N12" s="37"/>
      <c r="O12" s="43" t="s">
        <v>209</v>
      </c>
      <c r="Q12" s="52">
        <v>50</v>
      </c>
      <c r="R12" s="42">
        <v>112.8</v>
      </c>
      <c r="S12" s="52">
        <v>90</v>
      </c>
      <c r="T12" s="58">
        <v>2.2400000000000002</v>
      </c>
      <c r="U12" s="52">
        <f t="shared" si="0"/>
        <v>252.67200000000003</v>
      </c>
      <c r="V12" s="57"/>
      <c r="W12" s="43" t="s">
        <v>209</v>
      </c>
      <c r="Y12" s="60"/>
      <c r="Z12" s="60"/>
      <c r="AA12" s="60"/>
      <c r="AB12" s="60"/>
      <c r="AC12" s="60"/>
    </row>
    <row r="13" spans="1:29" x14ac:dyDescent="0.25">
      <c r="A13" s="41">
        <v>100</v>
      </c>
      <c r="B13" s="42">
        <v>125.3</v>
      </c>
      <c r="C13" s="41">
        <v>100</v>
      </c>
      <c r="D13" s="58">
        <v>1.2450000000000001</v>
      </c>
      <c r="E13" s="41">
        <v>155.0025</v>
      </c>
      <c r="F13" s="39"/>
      <c r="G13" s="43" t="s">
        <v>209</v>
      </c>
      <c r="H13" s="38"/>
      <c r="I13" s="41">
        <v>100</v>
      </c>
      <c r="J13" s="42">
        <v>125.3</v>
      </c>
      <c r="K13" s="41">
        <v>100</v>
      </c>
      <c r="L13" s="58">
        <v>1.2450000000000001</v>
      </c>
      <c r="M13" s="41">
        <v>155.0025</v>
      </c>
      <c r="N13" s="39"/>
      <c r="O13" s="43" t="s">
        <v>209</v>
      </c>
      <c r="Q13" s="52">
        <v>50</v>
      </c>
      <c r="R13" s="42">
        <v>125.3</v>
      </c>
      <c r="S13" s="52">
        <v>100</v>
      </c>
      <c r="T13" s="58">
        <v>2.4900000000000002</v>
      </c>
      <c r="U13" s="52">
        <f t="shared" si="0"/>
        <v>311.99700000000001</v>
      </c>
      <c r="V13" s="57"/>
      <c r="W13" s="43" t="s">
        <v>209</v>
      </c>
      <c r="Y13" s="60"/>
      <c r="Z13" s="60"/>
      <c r="AA13" s="60"/>
      <c r="AB13" s="60"/>
      <c r="AC13" s="60"/>
    </row>
    <row r="14" spans="1:29" ht="15" customHeight="1" x14ac:dyDescent="0.25">
      <c r="A14" s="91" t="s">
        <v>206</v>
      </c>
      <c r="B14" s="91"/>
      <c r="C14" s="91"/>
      <c r="D14" s="91"/>
      <c r="E14" s="91"/>
      <c r="F14" s="91"/>
      <c r="G14" s="38"/>
      <c r="H14" s="38"/>
      <c r="I14" s="91" t="s">
        <v>207</v>
      </c>
      <c r="J14" s="91"/>
      <c r="K14" s="91"/>
      <c r="L14" s="91"/>
      <c r="M14" s="91"/>
      <c r="N14" s="91"/>
      <c r="O14" s="38"/>
      <c r="Q14" s="97" t="s">
        <v>218</v>
      </c>
      <c r="R14" s="98"/>
      <c r="S14" s="98"/>
      <c r="T14" s="98"/>
      <c r="U14" s="98"/>
      <c r="V14" s="98"/>
      <c r="W14" s="99"/>
    </row>
    <row r="15" spans="1:29" x14ac:dyDescent="0.25">
      <c r="A15" s="40" t="s">
        <v>197</v>
      </c>
      <c r="B15" s="40" t="s">
        <v>198</v>
      </c>
      <c r="C15" s="40" t="s">
        <v>199</v>
      </c>
      <c r="D15" s="40" t="s">
        <v>34</v>
      </c>
      <c r="E15" s="40" t="s">
        <v>200</v>
      </c>
      <c r="F15" s="40" t="s">
        <v>208</v>
      </c>
      <c r="G15" s="40" t="s">
        <v>210</v>
      </c>
      <c r="H15" s="38"/>
      <c r="I15" s="40" t="s">
        <v>197</v>
      </c>
      <c r="J15" s="40" t="s">
        <v>198</v>
      </c>
      <c r="K15" s="40" t="s">
        <v>199</v>
      </c>
      <c r="L15" s="40" t="s">
        <v>34</v>
      </c>
      <c r="M15" s="40" t="s">
        <v>200</v>
      </c>
      <c r="N15" s="40" t="s">
        <v>208</v>
      </c>
      <c r="O15" s="40" t="s">
        <v>210</v>
      </c>
      <c r="Q15" s="40" t="s">
        <v>197</v>
      </c>
      <c r="R15" s="40" t="s">
        <v>198</v>
      </c>
      <c r="S15" s="40" t="s">
        <v>199</v>
      </c>
      <c r="T15" s="40" t="s">
        <v>34</v>
      </c>
      <c r="U15" s="40" t="s">
        <v>200</v>
      </c>
      <c r="V15" s="40" t="s">
        <v>208</v>
      </c>
      <c r="W15" s="40" t="s">
        <v>210</v>
      </c>
    </row>
    <row r="16" spans="1:29" x14ac:dyDescent="0.25">
      <c r="A16" s="41">
        <v>50</v>
      </c>
      <c r="B16" s="42">
        <v>25.2</v>
      </c>
      <c r="C16" s="41">
        <v>20</v>
      </c>
      <c r="D16" s="42">
        <v>0.496</v>
      </c>
      <c r="E16" s="41">
        <f>B16*D16</f>
        <v>12.4992</v>
      </c>
      <c r="F16" s="47"/>
      <c r="G16" s="38"/>
      <c r="H16" s="38"/>
      <c r="I16" s="41">
        <v>50</v>
      </c>
      <c r="J16" s="42">
        <v>25.2</v>
      </c>
      <c r="K16" s="41">
        <v>20</v>
      </c>
      <c r="L16" s="42">
        <v>0.496</v>
      </c>
      <c r="M16" s="41">
        <f>J16*L16</f>
        <v>12.4992</v>
      </c>
      <c r="N16" s="47"/>
      <c r="O16" s="38"/>
      <c r="Q16" s="41">
        <v>50</v>
      </c>
      <c r="R16" s="42">
        <v>25</v>
      </c>
      <c r="S16" s="41">
        <v>20</v>
      </c>
      <c r="T16" s="42">
        <v>0.99199999999999999</v>
      </c>
      <c r="U16" s="41">
        <f>R16*T16</f>
        <v>24.8</v>
      </c>
      <c r="V16" s="47"/>
      <c r="W16" s="43" t="s">
        <v>209</v>
      </c>
      <c r="X16" s="59"/>
    </row>
    <row r="17" spans="1:24" x14ac:dyDescent="0.25">
      <c r="A17" s="45">
        <v>50</v>
      </c>
      <c r="B17" s="42">
        <v>37.700000000000003</v>
      </c>
      <c r="C17" s="45">
        <v>30</v>
      </c>
      <c r="D17" s="42">
        <v>0.74299999999999999</v>
      </c>
      <c r="E17" s="41">
        <f t="shared" ref="E17:E22" si="1">B17*D17</f>
        <v>28.011100000000003</v>
      </c>
      <c r="F17" s="37"/>
      <c r="G17" s="38"/>
      <c r="H17" s="38"/>
      <c r="I17" s="45">
        <v>50</v>
      </c>
      <c r="J17" s="42">
        <v>37.700000000000003</v>
      </c>
      <c r="K17" s="45">
        <v>30</v>
      </c>
      <c r="L17" s="42">
        <v>0.74299999999999999</v>
      </c>
      <c r="M17" s="41">
        <f t="shared" ref="M17:M22" si="2">J17*L17</f>
        <v>28.011100000000003</v>
      </c>
      <c r="N17" s="37"/>
      <c r="O17" s="38"/>
      <c r="Q17" s="45">
        <v>50</v>
      </c>
      <c r="R17" s="42">
        <v>37.700000000000003</v>
      </c>
      <c r="S17" s="45">
        <v>30</v>
      </c>
      <c r="T17" s="42">
        <v>1.486</v>
      </c>
      <c r="U17" s="41">
        <f>R17*T17</f>
        <v>56.022200000000005</v>
      </c>
      <c r="V17" s="37"/>
      <c r="W17" s="43" t="s">
        <v>209</v>
      </c>
      <c r="X17" s="59"/>
    </row>
    <row r="18" spans="1:24" x14ac:dyDescent="0.25">
      <c r="A18" s="41">
        <v>50</v>
      </c>
      <c r="B18" s="42">
        <v>50.3</v>
      </c>
      <c r="C18" s="41">
        <v>40</v>
      </c>
      <c r="D18" s="42">
        <v>0.98599999999999999</v>
      </c>
      <c r="E18" s="41">
        <f t="shared" si="1"/>
        <v>49.595799999999997</v>
      </c>
      <c r="F18" s="39"/>
      <c r="G18" s="38"/>
      <c r="H18" s="38"/>
      <c r="I18" s="41">
        <v>50</v>
      </c>
      <c r="J18" s="42">
        <v>50.3</v>
      </c>
      <c r="K18" s="41">
        <v>40</v>
      </c>
      <c r="L18" s="42">
        <v>0.98599999999999999</v>
      </c>
      <c r="M18" s="41">
        <f t="shared" si="2"/>
        <v>49.595799999999997</v>
      </c>
      <c r="N18" s="39"/>
      <c r="O18" s="38"/>
      <c r="Q18" s="41">
        <v>50</v>
      </c>
      <c r="R18" s="42">
        <v>50</v>
      </c>
      <c r="S18" s="41">
        <v>40</v>
      </c>
      <c r="T18" s="42">
        <v>1.972</v>
      </c>
      <c r="U18" s="41">
        <f>R18*T18</f>
        <v>98.6</v>
      </c>
      <c r="V18" s="39"/>
      <c r="W18" s="43" t="s">
        <v>209</v>
      </c>
      <c r="X18" s="59"/>
    </row>
    <row r="19" spans="1:24" x14ac:dyDescent="0.25">
      <c r="A19" s="45">
        <v>50</v>
      </c>
      <c r="B19" s="42">
        <v>62.9</v>
      </c>
      <c r="C19" s="45">
        <v>50</v>
      </c>
      <c r="D19" s="42">
        <v>1.21</v>
      </c>
      <c r="E19" s="41">
        <f t="shared" si="1"/>
        <v>76.108999999999995</v>
      </c>
      <c r="F19" s="37"/>
      <c r="G19" s="38"/>
      <c r="H19" s="38"/>
      <c r="I19" s="45">
        <v>50</v>
      </c>
      <c r="J19" s="42">
        <v>62.9</v>
      </c>
      <c r="K19" s="45">
        <v>50</v>
      </c>
      <c r="L19" s="42">
        <v>1.21</v>
      </c>
      <c r="M19" s="41">
        <f t="shared" si="2"/>
        <v>76.108999999999995</v>
      </c>
      <c r="N19" s="37"/>
      <c r="O19" s="38"/>
      <c r="Q19" s="45">
        <v>50</v>
      </c>
      <c r="R19" s="42">
        <v>62.7</v>
      </c>
      <c r="S19" s="45">
        <v>50</v>
      </c>
      <c r="T19" s="42">
        <v>2.42</v>
      </c>
      <c r="U19" s="41">
        <f>R19*T19</f>
        <v>151.73400000000001</v>
      </c>
      <c r="V19" s="37"/>
      <c r="W19" s="43" t="s">
        <v>209</v>
      </c>
      <c r="X19" s="59"/>
    </row>
    <row r="20" spans="1:24" ht="15.75" thickBot="1" x14ac:dyDescent="0.3">
      <c r="A20" s="41">
        <v>50</v>
      </c>
      <c r="B20" s="42">
        <v>75.2</v>
      </c>
      <c r="C20" s="41">
        <v>60</v>
      </c>
      <c r="D20" s="42">
        <v>1.4450000000000001</v>
      </c>
      <c r="E20" s="41">
        <f t="shared" si="1"/>
        <v>108.66400000000002</v>
      </c>
      <c r="F20" s="39"/>
      <c r="G20" s="38"/>
      <c r="H20" s="38"/>
      <c r="I20" s="41">
        <v>50</v>
      </c>
      <c r="J20" s="42">
        <v>75.2</v>
      </c>
      <c r="K20" s="41">
        <v>60</v>
      </c>
      <c r="L20" s="42">
        <v>1.4450000000000001</v>
      </c>
      <c r="M20" s="41">
        <f t="shared" si="2"/>
        <v>108.66400000000002</v>
      </c>
      <c r="N20" s="39"/>
      <c r="O20" s="38"/>
      <c r="Q20" s="41">
        <v>50</v>
      </c>
      <c r="R20" s="42">
        <v>75.2</v>
      </c>
      <c r="S20" s="41">
        <v>60</v>
      </c>
      <c r="T20" s="42">
        <v>2.9430000000000001</v>
      </c>
      <c r="U20" s="41">
        <f>R20*T20</f>
        <v>221.31360000000001</v>
      </c>
      <c r="V20" s="39"/>
      <c r="W20" s="43" t="s">
        <v>209</v>
      </c>
    </row>
    <row r="21" spans="1:24" ht="25.5" x14ac:dyDescent="0.25">
      <c r="A21" s="45">
        <v>50</v>
      </c>
      <c r="B21" s="42">
        <v>87.3</v>
      </c>
      <c r="C21" s="45">
        <v>70</v>
      </c>
      <c r="D21" s="48">
        <v>1.7210000000000001</v>
      </c>
      <c r="E21" s="41">
        <f t="shared" si="1"/>
        <v>150.2433</v>
      </c>
      <c r="F21" s="37"/>
      <c r="G21" s="38"/>
      <c r="H21" s="54"/>
      <c r="I21" s="45">
        <v>50</v>
      </c>
      <c r="J21" s="42">
        <v>87.3</v>
      </c>
      <c r="K21" s="45">
        <v>70</v>
      </c>
      <c r="L21" s="48">
        <v>1.7210000000000001</v>
      </c>
      <c r="M21" s="41">
        <f t="shared" si="2"/>
        <v>150.2433</v>
      </c>
      <c r="N21" s="37"/>
      <c r="O21" s="38"/>
      <c r="P21" s="64"/>
      <c r="Q21" s="63">
        <v>50</v>
      </c>
      <c r="R21" s="63"/>
      <c r="S21" s="63">
        <v>70</v>
      </c>
      <c r="T21" s="63"/>
      <c r="U21" s="63">
        <f t="shared" ref="U21:U22" si="3">R21*T21</f>
        <v>0</v>
      </c>
      <c r="V21" s="61" t="s">
        <v>220</v>
      </c>
      <c r="W21" s="62" t="s">
        <v>212</v>
      </c>
    </row>
    <row r="22" spans="1:24" x14ac:dyDescent="0.25">
      <c r="A22" s="41">
        <v>50</v>
      </c>
      <c r="B22" s="42">
        <v>100.3</v>
      </c>
      <c r="C22" s="41">
        <v>80</v>
      </c>
      <c r="D22" s="48">
        <v>1.96</v>
      </c>
      <c r="E22" s="41">
        <f t="shared" si="1"/>
        <v>196.58799999999999</v>
      </c>
      <c r="F22" s="39"/>
      <c r="G22" s="43" t="s">
        <v>209</v>
      </c>
      <c r="H22" s="38"/>
      <c r="I22" s="41">
        <v>50</v>
      </c>
      <c r="J22" s="42">
        <v>100.3</v>
      </c>
      <c r="K22" s="41">
        <v>80</v>
      </c>
      <c r="L22" s="48">
        <v>1.96</v>
      </c>
      <c r="M22" s="41">
        <f t="shared" si="2"/>
        <v>196.58799999999999</v>
      </c>
      <c r="N22" s="39"/>
      <c r="O22" s="43" t="s">
        <v>209</v>
      </c>
      <c r="Q22" s="52">
        <v>50</v>
      </c>
      <c r="R22" s="55"/>
      <c r="S22" s="52">
        <v>80</v>
      </c>
      <c r="T22" s="55"/>
      <c r="U22" s="52">
        <f t="shared" si="3"/>
        <v>0</v>
      </c>
      <c r="V22" s="57"/>
      <c r="W22" s="38"/>
    </row>
    <row r="23" spans="1:24" x14ac:dyDescent="0.25">
      <c r="A23" s="45">
        <v>50</v>
      </c>
      <c r="B23" s="46"/>
      <c r="C23" s="45">
        <v>85</v>
      </c>
      <c r="D23" s="46"/>
      <c r="E23" s="41">
        <f>B23*D23</f>
        <v>0</v>
      </c>
      <c r="F23" s="37" t="s">
        <v>215</v>
      </c>
      <c r="G23" s="46" t="s">
        <v>212</v>
      </c>
      <c r="H23" s="38"/>
      <c r="I23" s="45">
        <v>50</v>
      </c>
      <c r="J23" s="46"/>
      <c r="K23" s="45">
        <v>85</v>
      </c>
      <c r="L23" s="46"/>
      <c r="M23" s="41">
        <f>J23*L23</f>
        <v>0</v>
      </c>
      <c r="N23" s="37" t="s">
        <v>215</v>
      </c>
      <c r="O23" s="46" t="s">
        <v>212</v>
      </c>
      <c r="Q23" s="52">
        <v>50</v>
      </c>
      <c r="R23" s="38"/>
      <c r="S23" s="38">
        <v>85</v>
      </c>
      <c r="T23" s="38"/>
      <c r="U23" s="38"/>
      <c r="V23" s="38"/>
      <c r="W23" s="38"/>
    </row>
    <row r="24" spans="1:24" x14ac:dyDescent="0.25">
      <c r="A24" s="45">
        <v>50</v>
      </c>
      <c r="B24" s="44"/>
      <c r="C24" s="45">
        <v>90</v>
      </c>
      <c r="D24" s="44"/>
      <c r="E24" s="41">
        <f>B24*D24</f>
        <v>0</v>
      </c>
      <c r="F24" s="37"/>
      <c r="G24" s="44"/>
      <c r="H24" s="38"/>
      <c r="I24" s="45">
        <v>50</v>
      </c>
      <c r="J24" s="44"/>
      <c r="K24" s="45">
        <v>90</v>
      </c>
      <c r="L24" s="44"/>
      <c r="M24" s="41">
        <f>J24*L24</f>
        <v>0</v>
      </c>
      <c r="N24" s="37"/>
      <c r="O24" s="44"/>
      <c r="Q24" s="52">
        <v>50</v>
      </c>
      <c r="R24" s="52"/>
      <c r="S24" s="52">
        <v>90</v>
      </c>
      <c r="T24" s="52"/>
      <c r="U24" s="52">
        <f>R24*T24</f>
        <v>0</v>
      </c>
      <c r="V24" s="57"/>
      <c r="W24" s="38"/>
    </row>
    <row r="25" spans="1:24" ht="25.5" customHeight="1" x14ac:dyDescent="0.25">
      <c r="A25" s="41">
        <v>50</v>
      </c>
      <c r="B25" s="44"/>
      <c r="C25" s="41">
        <v>100</v>
      </c>
      <c r="D25" s="44"/>
      <c r="E25" s="41">
        <f>B25*D25</f>
        <v>0</v>
      </c>
      <c r="F25" s="39"/>
      <c r="G25" s="38"/>
      <c r="I25" s="41">
        <v>50</v>
      </c>
      <c r="J25" s="44"/>
      <c r="K25" s="41">
        <v>100</v>
      </c>
      <c r="L25" s="44"/>
      <c r="M25" s="41">
        <f>J25*L25</f>
        <v>0</v>
      </c>
      <c r="N25" s="39"/>
      <c r="O25" s="38"/>
      <c r="Q25" s="52">
        <v>50</v>
      </c>
      <c r="R25" s="52"/>
      <c r="S25" s="52">
        <v>100</v>
      </c>
      <c r="T25" s="52"/>
      <c r="U25" s="52">
        <f>R25*T25</f>
        <v>0</v>
      </c>
      <c r="V25" s="57"/>
      <c r="W25" s="38"/>
    </row>
    <row r="26" spans="1:24" ht="15" customHeight="1" x14ac:dyDescent="0.25">
      <c r="A26" s="91" t="s">
        <v>206</v>
      </c>
      <c r="B26" s="91"/>
      <c r="C26" s="91"/>
      <c r="D26" s="91"/>
      <c r="E26" s="91"/>
      <c r="F26" s="91"/>
      <c r="G26" s="38"/>
      <c r="H26" s="38"/>
      <c r="I26" s="91" t="s">
        <v>207</v>
      </c>
      <c r="J26" s="91"/>
      <c r="K26" s="91"/>
      <c r="L26" s="91"/>
      <c r="M26" s="91"/>
      <c r="N26" s="91"/>
      <c r="O26" s="38"/>
      <c r="Q26" s="97" t="s">
        <v>218</v>
      </c>
      <c r="R26" s="98"/>
      <c r="S26" s="98"/>
      <c r="T26" s="98"/>
      <c r="U26" s="98"/>
      <c r="V26" s="98"/>
      <c r="W26" s="99"/>
    </row>
    <row r="27" spans="1:24" x14ac:dyDescent="0.25">
      <c r="A27" s="40" t="s">
        <v>197</v>
      </c>
      <c r="B27" s="40" t="s">
        <v>198</v>
      </c>
      <c r="C27" s="40" t="s">
        <v>199</v>
      </c>
      <c r="D27" s="40" t="s">
        <v>34</v>
      </c>
      <c r="E27" s="40" t="s">
        <v>200</v>
      </c>
      <c r="F27" s="40" t="s">
        <v>208</v>
      </c>
      <c r="G27" s="40" t="s">
        <v>213</v>
      </c>
      <c r="H27" s="38"/>
      <c r="I27" s="40" t="s">
        <v>197</v>
      </c>
      <c r="J27" s="40" t="s">
        <v>198</v>
      </c>
      <c r="K27" s="40" t="s">
        <v>199</v>
      </c>
      <c r="L27" s="40" t="s">
        <v>34</v>
      </c>
      <c r="M27" s="40" t="s">
        <v>200</v>
      </c>
      <c r="N27" s="40" t="s">
        <v>208</v>
      </c>
      <c r="O27" s="40" t="s">
        <v>213</v>
      </c>
      <c r="Q27" s="40" t="s">
        <v>197</v>
      </c>
      <c r="R27" s="40" t="s">
        <v>198</v>
      </c>
      <c r="S27" s="40" t="s">
        <v>199</v>
      </c>
      <c r="T27" s="40" t="s">
        <v>34</v>
      </c>
      <c r="U27" s="40" t="s">
        <v>200</v>
      </c>
      <c r="V27" s="40" t="s">
        <v>208</v>
      </c>
      <c r="W27" s="40" t="s">
        <v>210</v>
      </c>
    </row>
    <row r="28" spans="1:24" x14ac:dyDescent="0.25">
      <c r="A28" s="41">
        <v>25</v>
      </c>
      <c r="B28" s="42">
        <v>24.9</v>
      </c>
      <c r="C28" s="41">
        <v>20</v>
      </c>
      <c r="D28" s="42">
        <v>0.98</v>
      </c>
      <c r="E28" s="41">
        <f>B28*D28</f>
        <v>24.401999999999997</v>
      </c>
      <c r="F28" s="47"/>
      <c r="G28" s="43" t="s">
        <v>209</v>
      </c>
      <c r="H28" s="38"/>
      <c r="I28" s="41">
        <v>25</v>
      </c>
      <c r="J28" s="42">
        <v>24.9</v>
      </c>
      <c r="K28" s="41">
        <v>20</v>
      </c>
      <c r="L28" s="42">
        <v>0.98</v>
      </c>
      <c r="M28" s="41">
        <f>J28*L28</f>
        <v>24.401999999999997</v>
      </c>
      <c r="N28" s="47"/>
      <c r="O28" s="43" t="s">
        <v>209</v>
      </c>
      <c r="Q28" s="41">
        <v>25</v>
      </c>
      <c r="R28" s="42">
        <v>24.7</v>
      </c>
      <c r="S28" s="41">
        <v>20</v>
      </c>
      <c r="T28" s="42">
        <v>1.9359999999999999</v>
      </c>
      <c r="U28" s="41">
        <f>R28*T28</f>
        <v>47.819199999999995</v>
      </c>
      <c r="V28" s="47"/>
      <c r="W28" s="43" t="s">
        <v>209</v>
      </c>
    </row>
    <row r="29" spans="1:24" ht="15.75" thickBot="1" x14ac:dyDescent="0.3">
      <c r="A29" s="38">
        <v>25</v>
      </c>
      <c r="B29" s="42"/>
      <c r="C29" s="41">
        <v>24</v>
      </c>
      <c r="D29" s="42"/>
      <c r="E29" s="41">
        <f t="shared" ref="E29:E31" si="4">B29*D29</f>
        <v>0</v>
      </c>
      <c r="F29" s="47"/>
      <c r="G29" s="43" t="s">
        <v>209</v>
      </c>
      <c r="H29" s="38"/>
      <c r="I29" s="38">
        <v>25</v>
      </c>
      <c r="J29" s="42"/>
      <c r="K29" s="41">
        <v>24</v>
      </c>
      <c r="L29" s="42"/>
      <c r="M29" s="41">
        <f t="shared" ref="M29:M31" si="5">J29*L29</f>
        <v>0</v>
      </c>
      <c r="N29" s="47"/>
      <c r="O29" s="43" t="s">
        <v>209</v>
      </c>
      <c r="Q29" s="41">
        <v>25</v>
      </c>
      <c r="R29" s="70">
        <v>29.4</v>
      </c>
      <c r="S29" s="69">
        <v>24</v>
      </c>
      <c r="T29" s="70">
        <v>2.2000000000000002</v>
      </c>
      <c r="U29" s="41">
        <f>R29*T29</f>
        <v>64.680000000000007</v>
      </c>
      <c r="V29" s="71"/>
      <c r="W29" s="43" t="s">
        <v>209</v>
      </c>
    </row>
    <row r="30" spans="1:24" ht="25.5" x14ac:dyDescent="0.25">
      <c r="A30" s="38">
        <v>25</v>
      </c>
      <c r="B30" s="42">
        <v>31</v>
      </c>
      <c r="C30" s="41">
        <v>25</v>
      </c>
      <c r="D30" s="42">
        <v>1.2</v>
      </c>
      <c r="E30" s="41">
        <f t="shared" si="4"/>
        <v>37.199999999999996</v>
      </c>
      <c r="F30" s="47"/>
      <c r="G30" s="43" t="s">
        <v>209</v>
      </c>
      <c r="H30" s="38"/>
      <c r="I30" s="38">
        <v>25</v>
      </c>
      <c r="J30" s="42">
        <v>31</v>
      </c>
      <c r="K30" s="41">
        <v>25</v>
      </c>
      <c r="L30" s="42">
        <v>1.2</v>
      </c>
      <c r="M30" s="41">
        <f t="shared" si="5"/>
        <v>37.199999999999996</v>
      </c>
      <c r="N30" s="47"/>
      <c r="O30" s="43" t="s">
        <v>209</v>
      </c>
      <c r="Q30" s="53">
        <v>25</v>
      </c>
      <c r="R30" s="63"/>
      <c r="S30" s="63">
        <v>25</v>
      </c>
      <c r="T30" s="63"/>
      <c r="U30" s="63"/>
      <c r="V30" s="61" t="s">
        <v>220</v>
      </c>
      <c r="W30" s="46" t="s">
        <v>212</v>
      </c>
    </row>
    <row r="31" spans="1:24" x14ac:dyDescent="0.25">
      <c r="A31" s="38">
        <v>25</v>
      </c>
      <c r="B31" s="42"/>
      <c r="C31" s="38">
        <v>29</v>
      </c>
      <c r="D31" s="42"/>
      <c r="E31" s="41">
        <f t="shared" si="4"/>
        <v>0</v>
      </c>
      <c r="F31" s="38"/>
      <c r="G31" s="43" t="s">
        <v>209</v>
      </c>
      <c r="H31" s="38"/>
      <c r="I31" s="38">
        <v>25</v>
      </c>
      <c r="J31" s="42"/>
      <c r="K31" s="38">
        <v>29</v>
      </c>
      <c r="L31" s="42"/>
      <c r="M31" s="41">
        <f t="shared" si="5"/>
        <v>0</v>
      </c>
      <c r="N31" s="38"/>
      <c r="O31" s="43" t="s">
        <v>209</v>
      </c>
      <c r="Q31" s="72">
        <v>25</v>
      </c>
      <c r="R31" s="72"/>
      <c r="S31" s="72">
        <v>29</v>
      </c>
      <c r="T31" s="72"/>
      <c r="U31" s="72"/>
      <c r="V31" s="72"/>
    </row>
    <row r="32" spans="1:24" x14ac:dyDescent="0.25">
      <c r="A32" s="41">
        <v>25</v>
      </c>
      <c r="B32" s="42">
        <v>37.299999999999997</v>
      </c>
      <c r="C32" s="45">
        <v>30</v>
      </c>
      <c r="D32" s="42">
        <v>1.468</v>
      </c>
      <c r="E32" s="41">
        <f t="shared" ref="E32:E37" si="6">B32*D32</f>
        <v>54.756399999999992</v>
      </c>
      <c r="F32" s="37"/>
      <c r="G32" s="43" t="s">
        <v>209</v>
      </c>
      <c r="H32" s="38"/>
      <c r="I32" s="41">
        <v>25</v>
      </c>
      <c r="J32" s="42">
        <v>37.299999999999997</v>
      </c>
      <c r="K32" s="45">
        <v>30</v>
      </c>
      <c r="L32" s="42">
        <v>1.468</v>
      </c>
      <c r="M32" s="41">
        <f t="shared" ref="M32:M37" si="7">J32*L32</f>
        <v>54.756399999999992</v>
      </c>
      <c r="N32" s="37"/>
      <c r="O32" s="43" t="s">
        <v>209</v>
      </c>
      <c r="Q32" s="73">
        <v>25</v>
      </c>
      <c r="R32" s="73"/>
      <c r="S32" s="73">
        <v>30</v>
      </c>
      <c r="T32" s="73"/>
      <c r="U32" s="73">
        <f>R32*T32</f>
        <v>0</v>
      </c>
      <c r="V32" s="72"/>
      <c r="W32" s="72"/>
    </row>
    <row r="33" spans="1:23" x14ac:dyDescent="0.25">
      <c r="A33" s="41">
        <v>25</v>
      </c>
      <c r="B33" s="42">
        <v>49.7</v>
      </c>
      <c r="C33" s="41">
        <v>40</v>
      </c>
      <c r="D33" s="42">
        <v>1.9490000000000001</v>
      </c>
      <c r="E33" s="41">
        <f t="shared" si="6"/>
        <v>96.865300000000005</v>
      </c>
      <c r="F33" s="39"/>
      <c r="G33" s="43" t="s">
        <v>209</v>
      </c>
      <c r="H33" s="38"/>
      <c r="I33" s="41">
        <v>25</v>
      </c>
      <c r="J33" s="42">
        <v>49.7</v>
      </c>
      <c r="K33" s="41">
        <v>40</v>
      </c>
      <c r="L33" s="42">
        <v>1.9490000000000001</v>
      </c>
      <c r="M33" s="41">
        <f t="shared" si="7"/>
        <v>96.865300000000005</v>
      </c>
      <c r="N33" s="39"/>
      <c r="O33" s="43" t="s">
        <v>209</v>
      </c>
      <c r="Q33" s="52">
        <v>25</v>
      </c>
      <c r="R33" s="52"/>
      <c r="S33" s="52">
        <v>40</v>
      </c>
      <c r="T33" s="52"/>
      <c r="U33" s="52">
        <f>R33*T33</f>
        <v>0</v>
      </c>
      <c r="V33" s="38"/>
      <c r="W33" s="38"/>
    </row>
    <row r="34" spans="1:23" x14ac:dyDescent="0.25">
      <c r="A34" s="41">
        <v>25</v>
      </c>
      <c r="B34" s="44"/>
      <c r="C34" s="45">
        <v>50</v>
      </c>
      <c r="D34" s="46"/>
      <c r="E34" s="41">
        <f t="shared" si="6"/>
        <v>0</v>
      </c>
      <c r="F34" s="37" t="s">
        <v>215</v>
      </c>
      <c r="G34" s="46" t="s">
        <v>212</v>
      </c>
      <c r="H34" s="38"/>
      <c r="I34" s="41">
        <v>25</v>
      </c>
      <c r="J34" s="44"/>
      <c r="K34" s="45">
        <v>50</v>
      </c>
      <c r="L34" s="46"/>
      <c r="M34" s="41">
        <f t="shared" si="7"/>
        <v>0</v>
      </c>
      <c r="N34" s="37" t="s">
        <v>215</v>
      </c>
      <c r="O34" s="46" t="s">
        <v>212</v>
      </c>
      <c r="Q34" s="52">
        <v>25</v>
      </c>
      <c r="R34" s="52"/>
      <c r="S34" s="52">
        <v>50</v>
      </c>
      <c r="T34" s="52"/>
      <c r="U34" s="52">
        <f>R34*T34</f>
        <v>0</v>
      </c>
      <c r="V34" s="57"/>
      <c r="W34" s="38"/>
    </row>
    <row r="35" spans="1:23" x14ac:dyDescent="0.25">
      <c r="A35" s="65">
        <v>25</v>
      </c>
      <c r="B35" s="66"/>
      <c r="C35" s="65">
        <v>60</v>
      </c>
      <c r="D35" s="67"/>
      <c r="E35" s="65">
        <f t="shared" si="6"/>
        <v>0</v>
      </c>
      <c r="F35" s="68"/>
      <c r="G35" s="66"/>
      <c r="I35" s="65">
        <v>25</v>
      </c>
      <c r="J35" s="66"/>
      <c r="K35" s="65">
        <v>60</v>
      </c>
      <c r="L35" s="67"/>
      <c r="M35" s="65">
        <f t="shared" si="7"/>
        <v>0</v>
      </c>
      <c r="N35" s="68"/>
      <c r="O35" s="66"/>
      <c r="Q35" s="52">
        <v>25</v>
      </c>
      <c r="R35" s="52"/>
      <c r="S35" s="52">
        <v>60</v>
      </c>
      <c r="T35" s="52"/>
      <c r="U35" s="52">
        <f>R35*T35</f>
        <v>0</v>
      </c>
      <c r="V35" s="57"/>
      <c r="W35" s="38"/>
    </row>
    <row r="36" spans="1:23" x14ac:dyDescent="0.25">
      <c r="A36" s="41">
        <v>25</v>
      </c>
      <c r="B36" s="44"/>
      <c r="C36" s="45">
        <v>70</v>
      </c>
      <c r="D36" s="46"/>
      <c r="E36" s="41">
        <f t="shared" si="6"/>
        <v>0</v>
      </c>
      <c r="F36" s="37"/>
      <c r="G36" s="46"/>
      <c r="I36" s="41">
        <v>25</v>
      </c>
      <c r="J36" s="44"/>
      <c r="K36" s="45">
        <v>70</v>
      </c>
      <c r="L36" s="46"/>
      <c r="M36" s="41">
        <f t="shared" si="7"/>
        <v>0</v>
      </c>
      <c r="N36" s="37"/>
      <c r="O36" s="46"/>
      <c r="Q36" s="52">
        <v>25</v>
      </c>
      <c r="R36" s="55"/>
      <c r="S36" s="52">
        <v>70</v>
      </c>
      <c r="T36" s="52"/>
      <c r="U36" s="52">
        <f t="shared" ref="U36:U37" si="8">R36*T36</f>
        <v>0</v>
      </c>
      <c r="V36" s="52"/>
      <c r="W36" s="52"/>
    </row>
    <row r="37" spans="1:23" x14ac:dyDescent="0.25">
      <c r="A37" s="41">
        <v>25</v>
      </c>
      <c r="B37" s="44"/>
      <c r="C37" s="41">
        <v>80</v>
      </c>
      <c r="D37" s="46"/>
      <c r="E37" s="41">
        <f t="shared" si="6"/>
        <v>0</v>
      </c>
      <c r="F37" s="39"/>
      <c r="G37" s="44"/>
      <c r="I37" s="41">
        <v>25</v>
      </c>
      <c r="J37" s="44"/>
      <c r="K37" s="41">
        <v>80</v>
      </c>
      <c r="L37" s="46"/>
      <c r="M37" s="41">
        <f t="shared" si="7"/>
        <v>0</v>
      </c>
      <c r="N37" s="39"/>
      <c r="O37" s="44"/>
      <c r="Q37" s="52">
        <v>25</v>
      </c>
      <c r="R37" s="55"/>
      <c r="S37" s="52">
        <v>80</v>
      </c>
      <c r="T37" s="52"/>
      <c r="U37" s="52">
        <f t="shared" si="8"/>
        <v>0</v>
      </c>
      <c r="V37" s="52"/>
      <c r="W37" s="52"/>
    </row>
    <row r="38" spans="1:23" x14ac:dyDescent="0.25">
      <c r="A38" s="41">
        <v>25</v>
      </c>
      <c r="B38" s="44"/>
      <c r="C38" s="45">
        <v>90</v>
      </c>
      <c r="D38" s="46"/>
      <c r="E38" s="41">
        <f>B38*D38</f>
        <v>0</v>
      </c>
      <c r="F38" s="37"/>
      <c r="G38" s="44"/>
      <c r="I38" s="41">
        <v>25</v>
      </c>
      <c r="J38" s="44"/>
      <c r="K38" s="45">
        <v>90</v>
      </c>
      <c r="L38" s="46"/>
      <c r="M38" s="41">
        <f>J38*L38</f>
        <v>0</v>
      </c>
      <c r="N38" s="37"/>
      <c r="O38" s="44"/>
      <c r="Q38" s="52">
        <v>25</v>
      </c>
      <c r="R38" s="52"/>
      <c r="S38" s="74">
        <v>90</v>
      </c>
      <c r="T38" s="52"/>
      <c r="U38">
        <v>0</v>
      </c>
      <c r="V38" s="52"/>
      <c r="W38" s="52"/>
    </row>
    <row r="39" spans="1:23" x14ac:dyDescent="0.25">
      <c r="A39" s="41">
        <v>25</v>
      </c>
      <c r="B39" s="44"/>
      <c r="C39" s="41">
        <v>100</v>
      </c>
      <c r="D39" s="46"/>
      <c r="E39" s="41">
        <f>B39*D39</f>
        <v>0</v>
      </c>
      <c r="F39" s="39"/>
      <c r="G39" s="46"/>
      <c r="I39" s="41">
        <v>25</v>
      </c>
      <c r="J39" s="44"/>
      <c r="K39" s="41">
        <v>100</v>
      </c>
      <c r="L39" s="46"/>
      <c r="M39" s="41">
        <f>J39*L39</f>
        <v>0</v>
      </c>
      <c r="N39" s="39"/>
      <c r="O39" s="46"/>
      <c r="Q39" s="52">
        <v>25</v>
      </c>
      <c r="R39" s="38"/>
      <c r="S39" s="52">
        <v>100</v>
      </c>
      <c r="T39" s="52"/>
      <c r="U39" s="52">
        <f>R38*T38</f>
        <v>0</v>
      </c>
      <c r="V39" s="52"/>
      <c r="W39" s="52"/>
    </row>
    <row r="40" spans="1:23" x14ac:dyDescent="0.25">
      <c r="A40" s="92" t="s">
        <v>206</v>
      </c>
      <c r="B40" s="93"/>
      <c r="C40" s="93"/>
      <c r="D40" s="93"/>
      <c r="E40" s="93"/>
      <c r="F40" s="93"/>
      <c r="I40" s="92" t="s">
        <v>207</v>
      </c>
      <c r="J40" s="93"/>
      <c r="K40" s="93"/>
      <c r="L40" s="93"/>
      <c r="M40" s="93"/>
      <c r="N40" s="93"/>
      <c r="Q40" s="97" t="s">
        <v>218</v>
      </c>
      <c r="R40" s="98"/>
      <c r="S40" s="98"/>
      <c r="T40" s="98"/>
      <c r="U40" s="98"/>
      <c r="V40" s="98"/>
      <c r="W40" s="99"/>
    </row>
    <row r="41" spans="1:23" ht="15.75" thickBot="1" x14ac:dyDescent="0.3">
      <c r="A41" s="40" t="s">
        <v>197</v>
      </c>
      <c r="B41" s="40" t="s">
        <v>198</v>
      </c>
      <c r="C41" s="40" t="s">
        <v>199</v>
      </c>
      <c r="D41" s="40" t="s">
        <v>34</v>
      </c>
      <c r="E41" s="40" t="s">
        <v>200</v>
      </c>
      <c r="F41" s="40" t="s">
        <v>208</v>
      </c>
      <c r="G41" s="40" t="s">
        <v>213</v>
      </c>
      <c r="I41" s="40" t="s">
        <v>197</v>
      </c>
      <c r="J41" s="40" t="s">
        <v>198</v>
      </c>
      <c r="K41" s="40" t="s">
        <v>199</v>
      </c>
      <c r="L41" s="40" t="s">
        <v>34</v>
      </c>
      <c r="M41" s="40" t="s">
        <v>200</v>
      </c>
      <c r="N41" s="40" t="s">
        <v>208</v>
      </c>
      <c r="O41" s="40" t="s">
        <v>213</v>
      </c>
      <c r="Q41" s="40" t="s">
        <v>197</v>
      </c>
      <c r="R41" s="40" t="s">
        <v>198</v>
      </c>
      <c r="S41" s="40" t="s">
        <v>199</v>
      </c>
      <c r="T41" s="40" t="s">
        <v>34</v>
      </c>
      <c r="U41" s="40" t="s">
        <v>200</v>
      </c>
      <c r="V41" s="40" t="s">
        <v>208</v>
      </c>
      <c r="W41" s="40" t="s">
        <v>210</v>
      </c>
    </row>
    <row r="42" spans="1:23" ht="15.75" thickBot="1" x14ac:dyDescent="0.3">
      <c r="A42" s="40"/>
      <c r="B42" s="40">
        <v>12.5</v>
      </c>
      <c r="C42" s="40">
        <v>10</v>
      </c>
      <c r="D42" s="40">
        <v>0.6</v>
      </c>
      <c r="E42" s="40"/>
      <c r="F42" s="40"/>
      <c r="G42" s="40"/>
      <c r="I42" s="40"/>
      <c r="J42" s="40">
        <v>12.5</v>
      </c>
      <c r="K42" s="40">
        <v>10</v>
      </c>
      <c r="L42" s="40">
        <v>0.6</v>
      </c>
      <c r="M42" s="40"/>
      <c r="N42" s="40"/>
      <c r="O42" s="40"/>
      <c r="Q42" s="61">
        <v>20</v>
      </c>
      <c r="R42" s="61"/>
      <c r="S42" s="61">
        <v>10</v>
      </c>
      <c r="T42" s="61"/>
      <c r="U42" s="61"/>
      <c r="V42" s="61" t="s">
        <v>222</v>
      </c>
      <c r="W42" s="61" t="s">
        <v>212</v>
      </c>
    </row>
    <row r="43" spans="1:23" x14ac:dyDescent="0.25">
      <c r="A43" s="41">
        <v>20</v>
      </c>
      <c r="B43" s="42">
        <v>24.8</v>
      </c>
      <c r="C43" s="41">
        <v>20</v>
      </c>
      <c r="D43" s="42">
        <v>1.2</v>
      </c>
      <c r="E43" s="41">
        <f>B43*D43</f>
        <v>29.759999999999998</v>
      </c>
      <c r="F43" s="47"/>
      <c r="G43" s="43" t="s">
        <v>209</v>
      </c>
      <c r="I43" s="41">
        <v>20</v>
      </c>
      <c r="J43" s="42">
        <v>24.8</v>
      </c>
      <c r="K43" s="41">
        <v>20</v>
      </c>
      <c r="L43" s="42">
        <v>1.2</v>
      </c>
      <c r="M43" s="41">
        <f>J43*L43</f>
        <v>29.759999999999998</v>
      </c>
      <c r="N43" s="47"/>
      <c r="O43" s="43" t="s">
        <v>209</v>
      </c>
      <c r="Q43" s="61">
        <v>20</v>
      </c>
      <c r="R43" s="61"/>
      <c r="S43" s="61">
        <v>20</v>
      </c>
      <c r="T43" s="61"/>
      <c r="U43" s="61">
        <f t="shared" ref="U43:U50" si="9">R43*T43</f>
        <v>0</v>
      </c>
      <c r="V43" s="61" t="s">
        <v>222</v>
      </c>
      <c r="W43" s="61" t="s">
        <v>212</v>
      </c>
    </row>
    <row r="44" spans="1:23" x14ac:dyDescent="0.25">
      <c r="A44" s="41">
        <v>20</v>
      </c>
      <c r="B44" s="42">
        <v>37.200000000000003</v>
      </c>
      <c r="C44" s="45">
        <v>30</v>
      </c>
      <c r="D44" s="42">
        <v>1.821</v>
      </c>
      <c r="E44" s="41">
        <f t="shared" ref="E44:E49" si="10">B44*D44</f>
        <v>67.741200000000006</v>
      </c>
      <c r="F44" s="37"/>
      <c r="G44" s="43" t="s">
        <v>209</v>
      </c>
      <c r="I44" s="41">
        <v>20</v>
      </c>
      <c r="J44" s="42">
        <v>37.200000000000003</v>
      </c>
      <c r="K44" s="45">
        <v>30</v>
      </c>
      <c r="L44" s="42">
        <v>1.821</v>
      </c>
      <c r="M44" s="41">
        <f t="shared" ref="M44:M49" si="11">J44*L44</f>
        <v>67.741200000000006</v>
      </c>
      <c r="N44" s="37"/>
      <c r="O44" s="43" t="s">
        <v>209</v>
      </c>
      <c r="Q44" s="73">
        <v>20</v>
      </c>
      <c r="R44" s="73"/>
      <c r="S44" s="73">
        <v>24</v>
      </c>
      <c r="T44" s="73"/>
      <c r="U44" s="73">
        <f t="shared" si="9"/>
        <v>0</v>
      </c>
      <c r="V44" s="75"/>
      <c r="W44" s="72"/>
    </row>
    <row r="45" spans="1:23" x14ac:dyDescent="0.25">
      <c r="A45" s="41">
        <v>20</v>
      </c>
      <c r="B45" s="44"/>
      <c r="C45" s="41">
        <v>40</v>
      </c>
      <c r="D45" s="46"/>
      <c r="E45" s="41">
        <f t="shared" si="10"/>
        <v>0</v>
      </c>
      <c r="F45" s="37" t="s">
        <v>215</v>
      </c>
      <c r="G45" s="46" t="s">
        <v>212</v>
      </c>
      <c r="I45" s="41">
        <v>20</v>
      </c>
      <c r="J45" s="44"/>
      <c r="K45" s="41">
        <v>40</v>
      </c>
      <c r="L45" s="46"/>
      <c r="M45" s="41">
        <f t="shared" si="11"/>
        <v>0</v>
      </c>
      <c r="N45" s="37" t="s">
        <v>215</v>
      </c>
      <c r="O45" s="46" t="s">
        <v>212</v>
      </c>
      <c r="Q45" s="73">
        <v>20</v>
      </c>
      <c r="R45" s="73"/>
      <c r="S45" s="73">
        <v>25</v>
      </c>
      <c r="T45" s="73"/>
      <c r="U45" s="73">
        <f t="shared" si="9"/>
        <v>0</v>
      </c>
      <c r="V45" s="76"/>
      <c r="W45" s="72"/>
    </row>
    <row r="46" spans="1:23" x14ac:dyDescent="0.25">
      <c r="A46" s="41">
        <v>20</v>
      </c>
      <c r="B46" s="44"/>
      <c r="C46" s="45">
        <v>50</v>
      </c>
      <c r="D46" s="46"/>
      <c r="E46" s="41">
        <f t="shared" si="10"/>
        <v>0</v>
      </c>
      <c r="F46" s="38"/>
      <c r="G46" s="46"/>
      <c r="I46" s="41">
        <v>20</v>
      </c>
      <c r="J46" s="44"/>
      <c r="K46" s="45">
        <v>50</v>
      </c>
      <c r="L46" s="46"/>
      <c r="M46" s="41">
        <f t="shared" si="11"/>
        <v>0</v>
      </c>
      <c r="N46" s="38"/>
      <c r="O46" s="46"/>
      <c r="Q46" s="41">
        <v>20</v>
      </c>
      <c r="R46" s="72"/>
      <c r="S46" s="72">
        <v>29</v>
      </c>
      <c r="T46" s="72"/>
      <c r="U46" s="73">
        <f t="shared" si="9"/>
        <v>0</v>
      </c>
      <c r="V46" s="72"/>
      <c r="W46" s="38"/>
    </row>
    <row r="47" spans="1:23" x14ac:dyDescent="0.25">
      <c r="A47" s="41">
        <v>20</v>
      </c>
      <c r="B47" s="44"/>
      <c r="C47" s="41">
        <v>60</v>
      </c>
      <c r="D47" s="46"/>
      <c r="E47" s="41">
        <f t="shared" si="10"/>
        <v>0</v>
      </c>
      <c r="F47" s="39"/>
      <c r="G47" s="44"/>
      <c r="I47" s="41">
        <v>20</v>
      </c>
      <c r="J47" s="44"/>
      <c r="K47" s="41">
        <v>60</v>
      </c>
      <c r="L47" s="46"/>
      <c r="M47" s="41">
        <f t="shared" si="11"/>
        <v>0</v>
      </c>
      <c r="N47" s="39"/>
      <c r="O47" s="44"/>
      <c r="Q47" s="41">
        <v>20</v>
      </c>
      <c r="R47" s="73"/>
      <c r="S47" s="73">
        <v>30</v>
      </c>
      <c r="T47" s="73"/>
      <c r="U47" s="73">
        <f t="shared" si="9"/>
        <v>0</v>
      </c>
      <c r="V47" s="72"/>
      <c r="W47" s="72"/>
    </row>
    <row r="48" spans="1:23" x14ac:dyDescent="0.25">
      <c r="A48" s="41">
        <v>20</v>
      </c>
      <c r="B48" s="44"/>
      <c r="C48" s="45">
        <v>70</v>
      </c>
      <c r="D48" s="46"/>
      <c r="E48" s="41">
        <f t="shared" si="10"/>
        <v>0</v>
      </c>
      <c r="F48" s="37"/>
      <c r="G48" s="46"/>
      <c r="I48" s="41">
        <v>20</v>
      </c>
      <c r="J48" s="44"/>
      <c r="K48" s="45">
        <v>70</v>
      </c>
      <c r="L48" s="46"/>
      <c r="M48" s="41">
        <f t="shared" si="11"/>
        <v>0</v>
      </c>
      <c r="N48" s="37"/>
      <c r="O48" s="46"/>
      <c r="Q48" s="41">
        <v>20</v>
      </c>
      <c r="R48" s="52"/>
      <c r="S48" s="52">
        <v>40</v>
      </c>
      <c r="T48" s="52"/>
      <c r="U48" s="52">
        <f t="shared" si="9"/>
        <v>0</v>
      </c>
      <c r="V48" s="38"/>
      <c r="W48" s="38"/>
    </row>
    <row r="49" spans="1:23" x14ac:dyDescent="0.25">
      <c r="A49" s="41">
        <v>20</v>
      </c>
      <c r="B49" s="44"/>
      <c r="C49" s="41">
        <v>80</v>
      </c>
      <c r="D49" s="46"/>
      <c r="E49" s="41">
        <f t="shared" si="10"/>
        <v>0</v>
      </c>
      <c r="F49" s="39"/>
      <c r="G49" s="44"/>
      <c r="I49" s="41">
        <v>20</v>
      </c>
      <c r="J49" s="44"/>
      <c r="K49" s="41">
        <v>80</v>
      </c>
      <c r="L49" s="46"/>
      <c r="M49" s="41">
        <f t="shared" si="11"/>
        <v>0</v>
      </c>
      <c r="N49" s="39"/>
      <c r="O49" s="44"/>
      <c r="Q49" s="41">
        <v>20</v>
      </c>
      <c r="R49" s="52"/>
      <c r="S49" s="52">
        <v>50</v>
      </c>
      <c r="T49" s="52"/>
      <c r="U49" s="52">
        <f t="shared" si="9"/>
        <v>0</v>
      </c>
      <c r="V49" s="57"/>
      <c r="W49" s="38"/>
    </row>
    <row r="50" spans="1:23" x14ac:dyDescent="0.25">
      <c r="A50" s="41">
        <v>20</v>
      </c>
      <c r="B50" s="44"/>
      <c r="C50" s="45">
        <v>85</v>
      </c>
      <c r="D50" s="46"/>
      <c r="E50" s="41">
        <f>B50*D50</f>
        <v>0</v>
      </c>
      <c r="F50" s="38"/>
      <c r="G50" s="46"/>
      <c r="I50" s="41">
        <v>20</v>
      </c>
      <c r="J50" s="44"/>
      <c r="K50" s="45">
        <v>85</v>
      </c>
      <c r="L50" s="46"/>
      <c r="M50" s="41">
        <f>J50*L50</f>
        <v>0</v>
      </c>
      <c r="N50" s="38"/>
      <c r="O50" s="46"/>
      <c r="Q50" s="41">
        <v>20</v>
      </c>
      <c r="R50" s="52"/>
      <c r="S50" s="52">
        <v>60</v>
      </c>
      <c r="T50" s="52"/>
      <c r="U50" s="52">
        <f t="shared" si="9"/>
        <v>0</v>
      </c>
      <c r="V50" s="57"/>
      <c r="W50" s="38"/>
    </row>
    <row r="51" spans="1:23" x14ac:dyDescent="0.25">
      <c r="A51" s="41">
        <v>20</v>
      </c>
      <c r="B51" s="44"/>
      <c r="C51" s="45">
        <v>90</v>
      </c>
      <c r="D51" s="46"/>
      <c r="E51" s="41">
        <f>B51*D51</f>
        <v>0</v>
      </c>
      <c r="F51" s="37"/>
      <c r="G51" s="44"/>
      <c r="I51" s="41">
        <v>20</v>
      </c>
      <c r="J51" s="44"/>
      <c r="K51" s="45">
        <v>90</v>
      </c>
      <c r="L51" s="46"/>
      <c r="M51" s="41">
        <f>J51*L51</f>
        <v>0</v>
      </c>
      <c r="N51" s="37"/>
      <c r="O51" s="44"/>
      <c r="Q51" s="41">
        <v>20</v>
      </c>
      <c r="R51" s="55"/>
      <c r="S51" s="52">
        <v>70</v>
      </c>
      <c r="T51" s="52"/>
      <c r="U51" s="52">
        <f t="shared" ref="U51:U52" si="12">R51*T51</f>
        <v>0</v>
      </c>
      <c r="V51" s="52"/>
      <c r="W51" s="52"/>
    </row>
    <row r="52" spans="1:23" x14ac:dyDescent="0.25">
      <c r="A52" s="41">
        <v>20</v>
      </c>
      <c r="B52" s="44"/>
      <c r="C52" s="41">
        <v>100</v>
      </c>
      <c r="D52" s="46"/>
      <c r="E52" s="41">
        <f>B52*D52</f>
        <v>0</v>
      </c>
      <c r="F52" s="39"/>
      <c r="G52" s="46"/>
      <c r="I52" s="41">
        <v>20</v>
      </c>
      <c r="J52" s="44"/>
      <c r="K52" s="41">
        <v>100</v>
      </c>
      <c r="L52" s="46"/>
      <c r="M52" s="41">
        <f>J52*L52</f>
        <v>0</v>
      </c>
      <c r="N52" s="39"/>
      <c r="O52" s="46"/>
      <c r="Q52" s="41">
        <v>20</v>
      </c>
      <c r="R52" s="55"/>
      <c r="S52" s="52">
        <v>80</v>
      </c>
      <c r="T52" s="52"/>
      <c r="U52" s="52">
        <f t="shared" si="12"/>
        <v>0</v>
      </c>
      <c r="V52" s="52"/>
      <c r="W52" s="52"/>
    </row>
    <row r="53" spans="1:23" x14ac:dyDescent="0.25">
      <c r="Q53" s="41">
        <v>20</v>
      </c>
      <c r="R53" s="52"/>
      <c r="S53" s="74">
        <v>90</v>
      </c>
      <c r="T53" s="52"/>
      <c r="U53">
        <v>0</v>
      </c>
      <c r="V53" s="52"/>
      <c r="W53" s="52"/>
    </row>
    <row r="54" spans="1:23" x14ac:dyDescent="0.25">
      <c r="Q54" s="41">
        <v>20</v>
      </c>
      <c r="R54" s="38"/>
      <c r="S54" s="52">
        <v>100</v>
      </c>
      <c r="T54" s="52"/>
      <c r="U54" s="52">
        <f>R53*T53</f>
        <v>0</v>
      </c>
      <c r="V54" s="52"/>
      <c r="W54" s="52"/>
    </row>
  </sheetData>
  <mergeCells count="12">
    <mergeCell ref="A40:F40"/>
    <mergeCell ref="I40:N40"/>
    <mergeCell ref="Q40:W40"/>
    <mergeCell ref="A26:F26"/>
    <mergeCell ref="Q3:W3"/>
    <mergeCell ref="Q14:W14"/>
    <mergeCell ref="Q26:W26"/>
    <mergeCell ref="I26:N26"/>
    <mergeCell ref="A3:F3"/>
    <mergeCell ref="A14:F14"/>
    <mergeCell ref="I3:N3"/>
    <mergeCell ref="I14:N1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0F94-65E8-4446-94AB-C32B58A179E5}">
  <dimension ref="A1:Q58"/>
  <sheetViews>
    <sheetView workbookViewId="0">
      <selection activeCell="C4" sqref="C4"/>
    </sheetView>
  </sheetViews>
  <sheetFormatPr defaultRowHeight="15" x14ac:dyDescent="0.25"/>
  <cols>
    <col min="6" max="6" width="16.5703125" customWidth="1"/>
  </cols>
  <sheetData>
    <row r="1" spans="1:17" x14ac:dyDescent="0.25">
      <c r="A1" s="92" t="s">
        <v>226</v>
      </c>
      <c r="B1" s="93"/>
      <c r="C1" s="93"/>
      <c r="D1" s="93"/>
      <c r="E1" s="93"/>
      <c r="F1" s="93"/>
      <c r="L1" t="s">
        <v>203</v>
      </c>
      <c r="O1" t="s">
        <v>227</v>
      </c>
    </row>
    <row r="2" spans="1:17" x14ac:dyDescent="0.25">
      <c r="A2" s="40" t="s">
        <v>197</v>
      </c>
      <c r="B2" s="40" t="s">
        <v>198</v>
      </c>
      <c r="C2" s="40"/>
      <c r="D2" s="40" t="s">
        <v>34</v>
      </c>
      <c r="E2" s="40" t="s">
        <v>200</v>
      </c>
      <c r="F2" s="40" t="s">
        <v>208</v>
      </c>
      <c r="G2" s="40" t="s">
        <v>202</v>
      </c>
      <c r="H2" s="36"/>
      <c r="L2">
        <v>80</v>
      </c>
      <c r="M2">
        <v>125.5</v>
      </c>
      <c r="N2">
        <f>M2/L2</f>
        <v>1.5687500000000001</v>
      </c>
      <c r="O2">
        <f>L2*N2*N2</f>
        <v>196.87812500000001</v>
      </c>
    </row>
    <row r="3" spans="1:17" x14ac:dyDescent="0.25">
      <c r="A3" s="41">
        <v>80</v>
      </c>
      <c r="B3" s="42">
        <v>125.3</v>
      </c>
      <c r="C3" s="41"/>
      <c r="D3" s="42">
        <v>1.5</v>
      </c>
      <c r="E3" s="41"/>
      <c r="F3" s="39"/>
      <c r="G3" s="38"/>
      <c r="H3" s="30"/>
      <c r="L3">
        <v>60</v>
      </c>
      <c r="M3">
        <v>125.5</v>
      </c>
      <c r="N3">
        <f>M3/L3</f>
        <v>2.0916666666666668</v>
      </c>
      <c r="O3">
        <f>L3*N3*N3</f>
        <v>262.50416666666666</v>
      </c>
    </row>
    <row r="4" spans="1:17" x14ac:dyDescent="0.25">
      <c r="A4" s="52">
        <v>60</v>
      </c>
      <c r="B4" s="52">
        <v>125.3</v>
      </c>
      <c r="C4" s="52"/>
      <c r="D4" s="52">
        <v>2.0499999999999998</v>
      </c>
      <c r="E4" s="52"/>
      <c r="G4" s="38"/>
    </row>
    <row r="5" spans="1:17" x14ac:dyDescent="0.25">
      <c r="A5" s="80">
        <v>50</v>
      </c>
      <c r="B5" s="80"/>
      <c r="C5" s="80"/>
      <c r="D5" s="80"/>
      <c r="E5" s="80"/>
      <c r="F5" s="77" t="s">
        <v>232</v>
      </c>
      <c r="G5" s="80"/>
    </row>
    <row r="6" spans="1:17" x14ac:dyDescent="0.25">
      <c r="A6" s="94"/>
      <c r="B6" s="94"/>
      <c r="C6" s="94"/>
      <c r="D6" s="94"/>
      <c r="E6" s="94"/>
      <c r="F6" s="94"/>
    </row>
    <row r="7" spans="1:17" x14ac:dyDescent="0.25">
      <c r="A7" s="36"/>
      <c r="B7" s="36"/>
      <c r="C7" s="36"/>
      <c r="D7" s="36"/>
      <c r="E7" s="36"/>
      <c r="F7" s="36"/>
      <c r="G7" s="36"/>
      <c r="L7" s="36"/>
      <c r="M7" s="36"/>
      <c r="N7" s="36"/>
      <c r="O7" s="36"/>
      <c r="P7" s="36"/>
      <c r="Q7" s="36"/>
    </row>
    <row r="8" spans="1:17" x14ac:dyDescent="0.25">
      <c r="A8" s="60"/>
      <c r="B8" s="60"/>
      <c r="C8" s="60"/>
      <c r="D8" s="60"/>
      <c r="E8" s="60"/>
      <c r="F8" s="78"/>
      <c r="L8" s="60"/>
      <c r="M8" s="60"/>
      <c r="N8" s="60"/>
      <c r="O8" s="60"/>
      <c r="Q8" s="78"/>
    </row>
    <row r="9" spans="1:17" x14ac:dyDescent="0.25">
      <c r="A9" s="60"/>
      <c r="B9" s="60"/>
      <c r="C9" s="60"/>
      <c r="D9" s="60"/>
      <c r="E9" s="60"/>
      <c r="F9" s="79"/>
      <c r="L9" s="60"/>
      <c r="M9" s="60"/>
      <c r="N9" s="60"/>
      <c r="O9" s="60"/>
      <c r="Q9" s="79"/>
    </row>
    <row r="10" spans="1:17" x14ac:dyDescent="0.25">
      <c r="A10" s="60"/>
      <c r="B10" s="60"/>
      <c r="C10" s="60"/>
      <c r="D10" s="60"/>
      <c r="E10" s="60"/>
      <c r="F10" s="79"/>
      <c r="L10" s="60"/>
      <c r="M10" s="60"/>
      <c r="N10" s="60"/>
      <c r="O10" s="60"/>
      <c r="Q10" s="79"/>
    </row>
    <row r="11" spans="1:17" x14ac:dyDescent="0.25">
      <c r="A11" s="60"/>
      <c r="B11" s="60"/>
      <c r="C11" s="60"/>
      <c r="D11" s="60"/>
      <c r="E11" s="60"/>
      <c r="F11" s="79"/>
      <c r="L11" s="60"/>
      <c r="M11" s="60"/>
      <c r="N11" s="60"/>
      <c r="O11" s="60"/>
      <c r="Q11" s="79"/>
    </row>
    <row r="12" spans="1:17" x14ac:dyDescent="0.25">
      <c r="A12" s="60"/>
      <c r="B12" s="60"/>
      <c r="C12" s="60"/>
      <c r="D12" s="60"/>
      <c r="E12" s="60"/>
      <c r="F12" s="79"/>
      <c r="L12" s="60"/>
      <c r="M12" s="60"/>
      <c r="N12" s="60"/>
      <c r="O12" s="60"/>
      <c r="Q12" s="79"/>
    </row>
    <row r="13" spans="1:17" x14ac:dyDescent="0.25">
      <c r="A13" s="60"/>
      <c r="B13" s="60"/>
      <c r="C13" s="60"/>
      <c r="D13" s="60"/>
      <c r="E13" s="60"/>
      <c r="F13" s="79"/>
      <c r="L13" s="60"/>
      <c r="M13" s="60"/>
      <c r="N13" s="60"/>
      <c r="O13" s="60"/>
      <c r="Q13" s="79"/>
    </row>
    <row r="14" spans="1:17" x14ac:dyDescent="0.25">
      <c r="A14" s="60"/>
      <c r="B14" s="60"/>
      <c r="C14" s="60"/>
      <c r="D14" s="60"/>
      <c r="E14" s="60"/>
      <c r="F14" s="79"/>
      <c r="L14" s="60"/>
      <c r="M14" s="60"/>
      <c r="N14" s="60"/>
      <c r="O14" s="60"/>
      <c r="Q14" s="79"/>
    </row>
    <row r="15" spans="1:17" x14ac:dyDescent="0.25">
      <c r="A15" s="60"/>
      <c r="C15" s="60"/>
      <c r="E15" s="60"/>
      <c r="F15" s="79"/>
      <c r="L15" s="60"/>
      <c r="N15" s="60"/>
      <c r="O15" s="60"/>
    </row>
    <row r="16" spans="1:17" x14ac:dyDescent="0.25">
      <c r="A16" s="60"/>
      <c r="B16" s="60"/>
      <c r="C16" s="60"/>
      <c r="D16" s="60"/>
      <c r="E16" s="60"/>
      <c r="F16" s="79"/>
      <c r="G16" s="60"/>
      <c r="L16" s="60"/>
      <c r="M16" s="60"/>
      <c r="N16" s="60"/>
      <c r="O16" s="60"/>
      <c r="Q16" s="79"/>
    </row>
    <row r="17" spans="1:17" x14ac:dyDescent="0.25">
      <c r="A17" s="60"/>
      <c r="B17" s="60"/>
      <c r="C17" s="60"/>
      <c r="D17" s="60"/>
      <c r="E17" s="60"/>
      <c r="F17" s="79"/>
      <c r="L17" s="60"/>
      <c r="M17" s="60"/>
      <c r="N17" s="60"/>
      <c r="O17" s="60"/>
      <c r="Q17" s="79"/>
    </row>
    <row r="18" spans="1:17" x14ac:dyDescent="0.25">
      <c r="A18" s="94"/>
      <c r="B18" s="94"/>
      <c r="C18" s="94"/>
      <c r="D18" s="94"/>
      <c r="E18" s="94"/>
      <c r="F18" s="94"/>
    </row>
    <row r="19" spans="1:17" x14ac:dyDescent="0.25">
      <c r="A19" s="36"/>
      <c r="B19" s="36"/>
      <c r="C19" s="36"/>
      <c r="D19" s="36"/>
      <c r="E19" s="36"/>
      <c r="F19" s="36"/>
      <c r="G19" s="36"/>
      <c r="L19" s="36"/>
      <c r="M19" s="36"/>
      <c r="N19" s="36"/>
      <c r="O19" s="36"/>
      <c r="P19" s="36"/>
      <c r="Q19" s="36"/>
    </row>
    <row r="20" spans="1:17" x14ac:dyDescent="0.25">
      <c r="A20" s="60"/>
      <c r="B20" s="60"/>
      <c r="C20" s="60"/>
      <c r="D20" s="60"/>
      <c r="E20" s="60"/>
      <c r="F20" s="78"/>
      <c r="L20" s="60"/>
      <c r="M20" s="60"/>
      <c r="N20" s="60"/>
      <c r="O20" s="60"/>
      <c r="P20" s="60"/>
      <c r="Q20" s="78"/>
    </row>
    <row r="21" spans="1:17" x14ac:dyDescent="0.25">
      <c r="A21" s="60"/>
      <c r="B21" s="60"/>
      <c r="C21" s="60"/>
      <c r="D21" s="60"/>
      <c r="E21" s="60"/>
      <c r="F21" s="79"/>
      <c r="L21" s="60"/>
      <c r="M21" s="60"/>
      <c r="N21" s="60"/>
      <c r="O21" s="60"/>
      <c r="P21" s="60"/>
      <c r="Q21" s="79"/>
    </row>
    <row r="22" spans="1:17" x14ac:dyDescent="0.25">
      <c r="A22" s="60"/>
      <c r="B22" s="60"/>
      <c r="C22" s="60"/>
      <c r="D22" s="60"/>
      <c r="E22" s="60"/>
      <c r="F22" s="79"/>
      <c r="L22" s="60"/>
      <c r="M22" s="60"/>
      <c r="N22" s="60"/>
      <c r="O22" s="60"/>
      <c r="P22" s="60"/>
      <c r="Q22" s="79"/>
    </row>
    <row r="23" spans="1:17" x14ac:dyDescent="0.25">
      <c r="A23" s="60"/>
      <c r="B23" s="60"/>
      <c r="C23" s="60"/>
      <c r="E23" s="60"/>
      <c r="F23" s="79"/>
      <c r="L23" s="60"/>
      <c r="M23" s="60"/>
      <c r="N23" s="60"/>
      <c r="O23" s="60"/>
      <c r="P23" s="60"/>
      <c r="Q23" s="79"/>
    </row>
    <row r="24" spans="1:17" x14ac:dyDescent="0.25">
      <c r="A24" s="60"/>
      <c r="B24" s="60"/>
      <c r="C24" s="60"/>
      <c r="E24" s="60"/>
      <c r="F24" s="79"/>
      <c r="G24" s="60"/>
      <c r="L24" s="60"/>
      <c r="M24" s="60"/>
      <c r="N24" s="60"/>
      <c r="O24" s="60"/>
      <c r="P24" s="60"/>
      <c r="Q24" s="79"/>
    </row>
    <row r="25" spans="1:17" x14ac:dyDescent="0.25">
      <c r="A25" s="60"/>
      <c r="B25" s="60"/>
      <c r="C25" s="60"/>
      <c r="E25" s="60"/>
      <c r="F25" s="79"/>
      <c r="L25" s="60"/>
      <c r="M25" s="60"/>
      <c r="N25" s="60"/>
      <c r="O25" s="60"/>
      <c r="P25" s="60"/>
      <c r="Q25" s="79"/>
    </row>
    <row r="26" spans="1:17" x14ac:dyDescent="0.25">
      <c r="A26" s="60"/>
      <c r="B26" s="60"/>
      <c r="C26" s="60"/>
      <c r="E26" s="60"/>
      <c r="F26" s="79"/>
      <c r="G26" s="60"/>
      <c r="L26" s="60"/>
      <c r="M26" s="60"/>
      <c r="N26" s="60"/>
      <c r="O26" s="60"/>
      <c r="P26" s="60"/>
      <c r="Q26" s="79"/>
    </row>
    <row r="27" spans="1:17" x14ac:dyDescent="0.25">
      <c r="A27" s="60"/>
      <c r="B27" s="60"/>
      <c r="C27" s="60"/>
      <c r="E27" s="60"/>
      <c r="L27" s="60"/>
      <c r="M27" s="60"/>
      <c r="N27" s="60"/>
      <c r="O27" s="60"/>
      <c r="P27" s="60"/>
      <c r="Q27" s="79"/>
    </row>
    <row r="28" spans="1:17" x14ac:dyDescent="0.25">
      <c r="A28" s="60"/>
      <c r="B28" s="60"/>
      <c r="C28" s="60"/>
      <c r="E28" s="60"/>
      <c r="F28" s="79"/>
      <c r="G28" s="60"/>
      <c r="L28" s="60"/>
      <c r="M28" s="60"/>
      <c r="N28" s="60"/>
      <c r="O28" s="60"/>
      <c r="P28" s="60"/>
      <c r="Q28" s="79"/>
    </row>
    <row r="29" spans="1:17" x14ac:dyDescent="0.25">
      <c r="A29" s="60"/>
      <c r="B29" s="60"/>
      <c r="C29" s="60"/>
      <c r="E29" s="60"/>
      <c r="F29" s="79"/>
    </row>
    <row r="30" spans="1:17" x14ac:dyDescent="0.25">
      <c r="A30" s="94"/>
      <c r="B30" s="94"/>
      <c r="C30" s="94"/>
      <c r="D30" s="94"/>
      <c r="E30" s="94"/>
      <c r="F30" s="94"/>
      <c r="L30" s="36"/>
      <c r="M30" s="36"/>
      <c r="N30" s="36"/>
      <c r="O30" s="36"/>
      <c r="P30" s="36"/>
      <c r="Q30" s="36"/>
    </row>
    <row r="31" spans="1:17" x14ac:dyDescent="0.25">
      <c r="A31" s="36"/>
      <c r="B31" s="36"/>
      <c r="C31" s="36"/>
      <c r="D31" s="36"/>
      <c r="E31" s="36"/>
      <c r="F31" s="36"/>
      <c r="G31" s="36"/>
      <c r="L31" s="60"/>
      <c r="M31" s="60"/>
      <c r="N31" s="60"/>
      <c r="O31" s="60"/>
      <c r="P31" s="60"/>
      <c r="Q31" s="78"/>
    </row>
    <row r="32" spans="1:17" x14ac:dyDescent="0.25">
      <c r="A32" s="60"/>
      <c r="B32" s="60"/>
      <c r="C32" s="60"/>
      <c r="D32" s="60"/>
      <c r="E32" s="60"/>
      <c r="F32" s="78"/>
      <c r="L32" s="60"/>
      <c r="M32" s="60"/>
      <c r="N32" s="60"/>
      <c r="O32" s="60"/>
      <c r="P32" s="60"/>
      <c r="Q32" s="79"/>
    </row>
    <row r="33" spans="1:17" x14ac:dyDescent="0.25">
      <c r="A33" s="60"/>
      <c r="B33" s="60"/>
      <c r="C33" s="60"/>
      <c r="D33" s="60"/>
      <c r="E33" s="60"/>
      <c r="F33" s="79"/>
      <c r="L33" s="60"/>
      <c r="M33" s="60"/>
      <c r="N33" s="60"/>
      <c r="O33" s="60"/>
      <c r="P33" s="60"/>
      <c r="Q33" s="79"/>
    </row>
    <row r="34" spans="1:17" x14ac:dyDescent="0.25">
      <c r="A34" s="60"/>
      <c r="B34" s="60"/>
      <c r="C34" s="60"/>
      <c r="E34" s="60"/>
      <c r="F34" s="79"/>
      <c r="L34" s="60"/>
      <c r="M34" s="60"/>
      <c r="N34" s="60"/>
      <c r="O34" s="60"/>
      <c r="P34" s="60"/>
      <c r="Q34" s="79"/>
    </row>
    <row r="35" spans="1:17" x14ac:dyDescent="0.25">
      <c r="A35" s="60"/>
      <c r="B35" s="60"/>
      <c r="C35" s="60"/>
      <c r="E35" s="60"/>
      <c r="L35" s="60"/>
      <c r="M35" s="60"/>
      <c r="N35" s="60"/>
      <c r="O35" s="60"/>
      <c r="P35" s="60"/>
      <c r="Q35" s="79"/>
    </row>
    <row r="36" spans="1:17" x14ac:dyDescent="0.25">
      <c r="A36" s="60"/>
      <c r="B36" s="60"/>
      <c r="C36" s="60"/>
      <c r="E36" s="60"/>
      <c r="F36" s="79"/>
      <c r="G36" s="60"/>
      <c r="L36" s="60"/>
      <c r="M36" s="60"/>
      <c r="N36" s="60"/>
      <c r="O36" s="60"/>
      <c r="P36" s="60"/>
      <c r="Q36" s="79"/>
    </row>
    <row r="37" spans="1:17" x14ac:dyDescent="0.25">
      <c r="A37" s="60"/>
      <c r="B37" s="60"/>
      <c r="C37" s="60"/>
      <c r="E37" s="60"/>
      <c r="F37" s="79"/>
      <c r="L37" s="60"/>
      <c r="M37" s="60"/>
      <c r="N37" s="60"/>
      <c r="O37" s="60"/>
      <c r="P37" s="60"/>
      <c r="Q37" s="79"/>
    </row>
    <row r="38" spans="1:17" x14ac:dyDescent="0.25">
      <c r="A38" s="60"/>
      <c r="B38" s="60"/>
      <c r="C38" s="60"/>
      <c r="E38" s="60"/>
      <c r="F38" s="79"/>
      <c r="G38" s="60"/>
      <c r="L38" s="60"/>
      <c r="M38" s="60"/>
      <c r="N38" s="60"/>
      <c r="O38" s="60"/>
      <c r="P38" s="60"/>
      <c r="Q38" s="79"/>
    </row>
    <row r="39" spans="1:17" x14ac:dyDescent="0.25">
      <c r="A39" s="60"/>
      <c r="B39" s="60"/>
      <c r="C39" s="60"/>
      <c r="E39" s="60"/>
      <c r="L39" s="60"/>
      <c r="M39" s="60"/>
      <c r="N39" s="60"/>
      <c r="O39" s="60"/>
      <c r="P39" s="60"/>
      <c r="Q39" s="79"/>
    </row>
    <row r="40" spans="1:17" x14ac:dyDescent="0.25">
      <c r="A40" s="60"/>
      <c r="B40" s="60"/>
      <c r="C40" s="60"/>
      <c r="E40" s="60"/>
      <c r="F40" s="79"/>
      <c r="G40" s="60"/>
    </row>
    <row r="41" spans="1:17" x14ac:dyDescent="0.25">
      <c r="A41" s="60"/>
      <c r="B41" s="60"/>
      <c r="C41" s="60"/>
      <c r="E41" s="60"/>
      <c r="F41" s="79"/>
    </row>
    <row r="42" spans="1:17" x14ac:dyDescent="0.25">
      <c r="A42" s="94"/>
      <c r="B42" s="94"/>
      <c r="C42" s="94"/>
      <c r="D42" s="94"/>
      <c r="E42" s="94"/>
      <c r="F42" s="94"/>
    </row>
    <row r="43" spans="1:17" x14ac:dyDescent="0.25">
      <c r="A43" s="36"/>
      <c r="B43" s="36"/>
      <c r="C43" s="36"/>
      <c r="D43" s="36"/>
      <c r="E43" s="36"/>
      <c r="F43" s="36"/>
      <c r="G43" s="36"/>
      <c r="L43" s="36"/>
      <c r="M43" s="36"/>
      <c r="N43" s="36"/>
      <c r="O43" s="36"/>
      <c r="P43" s="36"/>
      <c r="Q43" s="36"/>
    </row>
    <row r="44" spans="1:17" x14ac:dyDescent="0.25">
      <c r="A44" s="60"/>
      <c r="B44" s="60"/>
      <c r="C44" s="60"/>
      <c r="D44" s="60"/>
      <c r="E44" s="60"/>
      <c r="F44" s="36"/>
      <c r="G44" s="36"/>
      <c r="L44" s="36"/>
      <c r="M44" s="36"/>
      <c r="N44" s="36"/>
      <c r="O44" s="36"/>
      <c r="P44" s="36"/>
      <c r="Q44" s="36"/>
    </row>
    <row r="45" spans="1:17" x14ac:dyDescent="0.25">
      <c r="A45" s="60"/>
      <c r="B45" s="60"/>
      <c r="C45" s="60"/>
      <c r="D45" s="60"/>
      <c r="E45" s="60"/>
      <c r="F45" s="36"/>
      <c r="G45" s="36"/>
      <c r="L45" s="36"/>
      <c r="M45" s="36"/>
      <c r="N45" s="36"/>
      <c r="O45" s="36"/>
      <c r="P45" s="36"/>
      <c r="Q45" s="36"/>
    </row>
    <row r="46" spans="1:17" x14ac:dyDescent="0.25">
      <c r="A46" s="60"/>
      <c r="B46" s="60"/>
      <c r="C46" s="60"/>
      <c r="D46" s="60"/>
      <c r="E46" s="60"/>
      <c r="F46" s="36"/>
      <c r="G46" s="36"/>
      <c r="L46" s="36"/>
      <c r="M46" s="36"/>
      <c r="N46" s="36"/>
      <c r="O46" s="36"/>
      <c r="P46" s="36"/>
      <c r="Q46" s="36"/>
    </row>
    <row r="47" spans="1:17" x14ac:dyDescent="0.25">
      <c r="A47" s="60"/>
      <c r="B47" s="60"/>
      <c r="C47" s="60"/>
      <c r="D47" s="60"/>
      <c r="E47" s="60"/>
      <c r="F47" s="36"/>
      <c r="G47" s="36"/>
      <c r="L47" s="36"/>
      <c r="M47" s="36"/>
      <c r="N47" s="36"/>
      <c r="O47" s="36"/>
      <c r="P47" s="36"/>
      <c r="Q47" s="36"/>
    </row>
    <row r="48" spans="1:17" x14ac:dyDescent="0.25">
      <c r="A48" s="60"/>
      <c r="B48" s="60"/>
      <c r="C48" s="60"/>
      <c r="D48" s="60"/>
      <c r="E48" s="60"/>
      <c r="F48" s="79"/>
      <c r="L48" s="36"/>
      <c r="M48" s="36"/>
      <c r="N48" s="36"/>
      <c r="O48" s="36"/>
      <c r="P48" s="36"/>
      <c r="Q48" s="36"/>
    </row>
    <row r="49" spans="1:17" x14ac:dyDescent="0.25">
      <c r="A49" s="60"/>
      <c r="B49" s="60"/>
      <c r="C49" s="60"/>
      <c r="D49" s="60"/>
      <c r="E49" s="60"/>
      <c r="F49" s="79"/>
      <c r="L49" s="60"/>
      <c r="M49" s="60"/>
      <c r="N49" s="60"/>
      <c r="O49" s="60"/>
      <c r="P49" s="60"/>
      <c r="Q49" s="78"/>
    </row>
    <row r="50" spans="1:17" x14ac:dyDescent="0.25">
      <c r="A50" s="60"/>
      <c r="B50" s="60"/>
      <c r="C50" s="60"/>
      <c r="E50" s="60"/>
      <c r="F50" s="79"/>
      <c r="L50" s="60"/>
      <c r="M50" s="60"/>
      <c r="N50" s="60"/>
      <c r="O50" s="60"/>
      <c r="P50" s="60"/>
      <c r="Q50" s="79"/>
    </row>
    <row r="51" spans="1:17" x14ac:dyDescent="0.25">
      <c r="A51" s="60"/>
      <c r="B51" s="60"/>
      <c r="C51" s="60"/>
      <c r="E51" s="60"/>
      <c r="L51" s="60"/>
      <c r="M51" s="60"/>
      <c r="N51" s="60"/>
      <c r="O51" s="60"/>
      <c r="P51" s="60"/>
      <c r="Q51" s="79"/>
    </row>
    <row r="52" spans="1:17" x14ac:dyDescent="0.25">
      <c r="A52" s="60"/>
      <c r="B52" s="60"/>
      <c r="C52" s="60"/>
      <c r="E52" s="60"/>
      <c r="L52" s="60"/>
      <c r="M52" s="60"/>
      <c r="N52" s="60"/>
      <c r="O52" s="60"/>
      <c r="P52" s="60"/>
      <c r="Q52" s="79"/>
    </row>
    <row r="53" spans="1:17" x14ac:dyDescent="0.25">
      <c r="A53" s="60"/>
      <c r="B53" s="60"/>
      <c r="C53" s="60"/>
      <c r="E53" s="60"/>
      <c r="F53" s="79"/>
      <c r="G53" s="60"/>
      <c r="L53" s="60"/>
      <c r="M53" s="60"/>
      <c r="N53" s="60"/>
      <c r="O53" s="60"/>
      <c r="P53" s="60"/>
      <c r="Q53" s="79"/>
    </row>
    <row r="54" spans="1:17" x14ac:dyDescent="0.25">
      <c r="A54" s="60"/>
      <c r="B54" s="60"/>
      <c r="C54" s="60"/>
      <c r="E54" s="60"/>
      <c r="F54" s="79"/>
      <c r="L54" s="60"/>
      <c r="M54" s="60"/>
      <c r="N54" s="60"/>
      <c r="O54" s="60"/>
      <c r="P54" s="60"/>
      <c r="Q54" s="79"/>
    </row>
    <row r="55" spans="1:17" x14ac:dyDescent="0.25">
      <c r="A55" s="60"/>
      <c r="B55" s="60"/>
      <c r="C55" s="60"/>
      <c r="E55" s="60"/>
      <c r="F55" s="79"/>
      <c r="G55" s="60"/>
      <c r="L55" s="60"/>
      <c r="M55" s="60"/>
      <c r="N55" s="60"/>
      <c r="O55" s="60"/>
      <c r="P55" s="60"/>
      <c r="Q55" s="79"/>
    </row>
    <row r="56" spans="1:17" x14ac:dyDescent="0.25">
      <c r="A56" s="60"/>
      <c r="B56" s="60"/>
      <c r="C56" s="60"/>
      <c r="E56" s="60"/>
      <c r="L56" s="60"/>
      <c r="M56" s="60"/>
      <c r="N56" s="60"/>
      <c r="O56" s="60"/>
      <c r="P56" s="60"/>
      <c r="Q56" s="79"/>
    </row>
    <row r="57" spans="1:17" x14ac:dyDescent="0.25">
      <c r="A57" s="60"/>
      <c r="B57" s="60"/>
      <c r="C57" s="60"/>
      <c r="E57" s="60"/>
      <c r="F57" s="79"/>
      <c r="G57" s="60"/>
      <c r="L57" s="60"/>
      <c r="M57" s="60"/>
      <c r="N57" s="60"/>
      <c r="O57" s="60"/>
      <c r="P57" s="60"/>
      <c r="Q57" s="79"/>
    </row>
    <row r="58" spans="1:17" x14ac:dyDescent="0.25">
      <c r="A58" s="60"/>
      <c r="B58" s="60"/>
      <c r="C58" s="60"/>
      <c r="E58" s="60"/>
      <c r="F58" s="79"/>
    </row>
  </sheetData>
  <mergeCells count="5">
    <mergeCell ref="A1:F1"/>
    <mergeCell ref="A6:F6"/>
    <mergeCell ref="A18:F18"/>
    <mergeCell ref="A30:F30"/>
    <mergeCell ref="A42:F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400A</vt:lpstr>
      <vt:lpstr>Proximi.sensor</vt:lpstr>
      <vt:lpstr>EVP</vt:lpstr>
      <vt:lpstr>Sheet1 (2)</vt:lpstr>
      <vt:lpstr>Brake</vt:lpstr>
      <vt:lpstr>MC</vt:lpstr>
      <vt:lpstr>EV1 (resistor)</vt:lpstr>
      <vt:lpstr>EV2 (resistor)</vt:lpstr>
      <vt:lpstr>EV3 (resistor)</vt:lpstr>
      <vt:lpstr>EV2+EV3 (resistor)</vt:lpstr>
      <vt:lpstr>EV4 (resistor)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Arnold</dc:creator>
  <cp:lastModifiedBy>Thang Ma</cp:lastModifiedBy>
  <dcterms:created xsi:type="dcterms:W3CDTF">2015-06-05T18:17:20Z</dcterms:created>
  <dcterms:modified xsi:type="dcterms:W3CDTF">2026-07-02T03:18:16Z</dcterms:modified>
</cp:coreProperties>
</file>