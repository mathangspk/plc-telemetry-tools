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ncointlapac-my.sharepoint.com/personal/tma_mi-jackvietnam_com/Documents/MI JACK/MI JACK/Project/Isoloader/Apollo 4/testing_apollo/Performance_testing/"/>
    </mc:Choice>
  </mc:AlternateContent>
  <xr:revisionPtr revIDLastSave="126" documentId="8_{3B2D420E-52B7-421A-B1FF-DE94D9A23194}" xr6:coauthVersionLast="47" xr6:coauthVersionMax="47" xr10:uidLastSave="{4D60CED9-F1A1-4B4A-BFEE-FB78C97CE41C}"/>
  <bookViews>
    <workbookView xWindow="645" yWindow="1815" windowWidth="28155" windowHeight="13665" firstSheet="4" activeTab="8" xr2:uid="{00000000-000D-0000-FFFF-FFFF00000000}"/>
  </bookViews>
  <sheets>
    <sheet name="Cover" sheetId="1" r:id="rId1"/>
    <sheet name="PERF-001 Lift Speed" sheetId="2" r:id="rId2"/>
    <sheet name="PERF-002 Sideshift" sheetId="3" r:id="rId3"/>
    <sheet name="PERF-003 Acceleration" sheetId="4" r:id="rId4"/>
    <sheet name="PERF-004 Regen Braking" sheetId="5" r:id="rId5"/>
    <sheet name="PERF-005 Turning Radius" sheetId="6" r:id="rId6"/>
    <sheet name="PERF-006 Joystick Response" sheetId="7" r:id="rId7"/>
    <sheet name="PERF-007 Motor Thermal" sheetId="8" r:id="rId8"/>
    <sheet name="PERF-008 Energy Cycle" sheetId="9" r:id="rId9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C50" i="3"/>
  <c r="C51" i="3"/>
  <c r="C40" i="3"/>
  <c r="C39" i="3"/>
  <c r="C29" i="3"/>
  <c r="C28" i="3"/>
  <c r="C18" i="3"/>
  <c r="C17" i="3"/>
  <c r="C31" i="2"/>
  <c r="C32" i="2"/>
  <c r="C22" i="2"/>
  <c r="C21" i="2"/>
  <c r="D12" i="4"/>
  <c r="C39" i="9"/>
  <c r="B32" i="9"/>
  <c r="B31" i="9" s="1"/>
  <c r="D32" i="8"/>
  <c r="C32" i="8"/>
  <c r="B32" i="8"/>
  <c r="D31" i="8"/>
  <c r="C31" i="8"/>
  <c r="C27" i="8" s="1"/>
  <c r="B31" i="8"/>
  <c r="B27" i="8"/>
  <c r="C25" i="6"/>
  <c r="B25" i="6"/>
  <c r="C21" i="6"/>
  <c r="B21" i="6"/>
  <c r="E30" i="5"/>
  <c r="D30" i="5"/>
  <c r="C30" i="5"/>
  <c r="B30" i="5"/>
  <c r="C29" i="5"/>
  <c r="B23" i="5"/>
  <c r="B22" i="5"/>
  <c r="E33" i="4"/>
  <c r="D33" i="4"/>
  <c r="B33" i="4"/>
  <c r="E32" i="4"/>
  <c r="D32" i="4"/>
  <c r="B32" i="4"/>
  <c r="G28" i="4"/>
  <c r="F28" i="4"/>
  <c r="E28" i="4"/>
  <c r="C28" i="4"/>
  <c r="G27" i="4"/>
  <c r="F27" i="4"/>
  <c r="E27" i="4"/>
  <c r="C27" i="4"/>
  <c r="D26" i="4"/>
  <c r="D25" i="4"/>
  <c r="D24" i="4"/>
  <c r="D23" i="4"/>
  <c r="D22" i="4"/>
  <c r="G18" i="4"/>
  <c r="F18" i="4"/>
  <c r="E18" i="4"/>
  <c r="C18" i="4"/>
  <c r="G17" i="4"/>
  <c r="F17" i="4"/>
  <c r="E17" i="4"/>
  <c r="D16" i="4"/>
  <c r="D15" i="4"/>
  <c r="D14" i="4"/>
  <c r="D13" i="4"/>
  <c r="E31" i="2"/>
  <c r="D31" i="2"/>
  <c r="E21" i="2"/>
  <c r="D27" i="4" l="1"/>
  <c r="D17" i="4"/>
  <c r="C32" i="4"/>
  <c r="D18" i="4"/>
  <c r="D28" i="4"/>
  <c r="C33" i="4"/>
  <c r="D50" i="3"/>
  <c r="D39" i="3"/>
  <c r="D28" i="3"/>
  <c r="D17" i="3"/>
  <c r="B20" i="9" l="1"/>
  <c r="B30" i="9"/>
  <c r="E39" i="3"/>
  <c r="B17" i="8"/>
  <c r="B13" i="5"/>
  <c r="C14" i="6"/>
  <c r="E28" i="3"/>
  <c r="E17" i="3"/>
  <c r="F21" i="2"/>
  <c r="F17" i="3"/>
  <c r="F18" i="3"/>
  <c r="B14" i="6"/>
  <c r="E50" i="3"/>
  <c r="F50" i="3"/>
  <c r="F31" i="2"/>
  <c r="F28" i="3"/>
  <c r="B21" i="2"/>
  <c r="B22" i="2"/>
  <c r="D21" i="2"/>
  <c r="B21" i="9"/>
  <c r="B19" i="9"/>
  <c r="C17" i="8"/>
  <c r="C26" i="6"/>
  <c r="F22" i="2"/>
  <c r="B14" i="5"/>
  <c r="B31" i="2"/>
  <c r="E29" i="3"/>
  <c r="F32" i="2"/>
  <c r="F51" i="3"/>
  <c r="B39" i="9"/>
  <c r="E40" i="3"/>
  <c r="D29" i="5"/>
  <c r="B26" i="6"/>
  <c r="F39" i="3"/>
  <c r="G31" i="2"/>
  <c r="F29" i="3"/>
  <c r="E18" i="3"/>
  <c r="D39" i="9"/>
  <c r="G21" i="2"/>
  <c r="E29" i="5"/>
  <c r="E51" i="3"/>
  <c r="G32" i="2"/>
  <c r="G22" i="2"/>
  <c r="B29" i="5"/>
  <c r="B32" i="2"/>
  <c r="E39" i="9"/>
  <c r="F40" i="3"/>
</calcChain>
</file>

<file path=xl/sharedStrings.xml><?xml version="1.0" encoding="utf-8"?>
<sst xmlns="http://schemas.openxmlformats.org/spreadsheetml/2006/main" count="580" uniqueCount="271">
  <si>
    <t>45-Ton Battery-Powered Straddle Carrier</t>
  </si>
  <si>
    <t>Test Campaign: Measure &amp; Learn - Initial Baseline</t>
  </si>
  <si>
    <t>Date Created: December 17, 2025</t>
  </si>
  <si>
    <t>OVERVIEW</t>
  </si>
  <si>
    <t>This Excel workbook contains data recording sheets for 8 performance tests</t>
  </si>
  <si>
    <t>Test Duration: 5 trials per test (except Turning Radius: 3 trials)</t>
  </si>
  <si>
    <t>All data auto-calculates: Average and Standard Deviation</t>
  </si>
  <si>
    <t>SHEET DIRECTORY</t>
  </si>
  <si>
    <t>Sheet 1: Cover (this sheet)</t>
  </si>
  <si>
    <t>Sheet 2: PERF-001 - Lift Speed (45T to 2H)</t>
  </si>
  <si>
    <t>Sheet 3: PERF-002 - Sideshift Speed (0 to Full Stroke)</t>
  </si>
  <si>
    <t>Sheet 4: PERF-003 - Acceleration (0 to 15 km/h, 50m)</t>
  </si>
  <si>
    <t>Sheet 5: PERF-004 - Regenerative Braking (Comparative)</t>
  </si>
  <si>
    <t>Sheet 6: PERF-005 - Turning Radius (4WS, ISO 4310)</t>
  </si>
  <si>
    <t>Sheet 7: PERF-006 - Joystick Responsiveness (Qualitative)</t>
  </si>
  <si>
    <t>Sheet 8: PERF-007 - Motor Thermal &amp; Current Behavior</t>
  </si>
  <si>
    <t>Sheet 9: PERF-008 - Energy Per Cycle (Lift+Travel+Lower)</t>
  </si>
  <si>
    <t>INSTRUCTIONS</t>
  </si>
  <si>
    <t>1. Read Performance Test SOP before starting</t>
  </si>
  <si>
    <t>2. Fill in test date, technician name, and ambient conditions at top of each sheet</t>
  </si>
  <si>
    <t>3. Record 5 trial values in the Trial columns</t>
  </si>
  <si>
    <t>4. Average and StdDev auto-calculate</t>
  </si>
  <si>
    <t>5. Sign and date each completed sheet</t>
  </si>
  <si>
    <t>6. Mark Pass/Fail status (to be defined after first campaign)</t>
  </si>
  <si>
    <t>7. Add summary comments in Summary field</t>
  </si>
  <si>
    <t>KEY REMINDERS</t>
  </si>
  <si>
    <t>- All tests require certified technician</t>
  </si>
  <si>
    <t>- Emergency stop must be accessible at all times</t>
  </si>
  <si>
    <t>- Allow 2-3 min cool-down between trials</t>
  </si>
  <si>
    <t>- Record motor and controller temperatures for each test</t>
  </si>
  <si>
    <t>- Safety first: stop test if any anomaly detected</t>
  </si>
  <si>
    <t>BATTERY REFERENCE</t>
  </si>
  <si>
    <t>Total Capacity: 114.52 kWh (2 x 57.26 kWh packs in series)</t>
  </si>
  <si>
    <t>1% SOC = 1.1452 kWh</t>
  </si>
  <si>
    <t>Target: Keep SOC above 10% during testing</t>
  </si>
  <si>
    <t>CONTACT</t>
  </si>
  <si>
    <t>Project Engineer: ____________________</t>
  </si>
  <si>
    <t>Quality Lead: ____________________</t>
  </si>
  <si>
    <t>Technician: ____________________</t>
  </si>
  <si>
    <t>PERFORMANCE TEST DATA FORM</t>
  </si>
  <si>
    <t>Objective: Measure time to lift 45-ton load from ground to 2H (max height)</t>
  </si>
  <si>
    <t>Standard: ASME B30.2 Crane Load Test</t>
  </si>
  <si>
    <t>TEST DATE</t>
  </si>
  <si>
    <t>TECHNICIAN NAME</t>
  </si>
  <si>
    <t>SUPERVISOR NAME</t>
  </si>
  <si>
    <t>AMBIENT TEMP (°C)</t>
  </si>
  <si>
    <t>INITIAL MOTOR TEMP (°C)</t>
  </si>
  <si>
    <t>INITIAL CONTROLLER TEMP (°C)</t>
  </si>
  <si>
    <t>DESIGN 2H HEIGHT (m)</t>
  </si>
  <si>
    <t>CONTAINER WEIGHT (kg or TBD)</t>
  </si>
  <si>
    <t>MODE A: FULL JOYSTICK (100% max speed)</t>
  </si>
  <si>
    <t>Trial #</t>
  </si>
  <si>
    <t>Trial A1</t>
  </si>
  <si>
    <t>Trial A2</t>
  </si>
  <si>
    <t>Trial A3</t>
  </si>
  <si>
    <t>Trial A4</t>
  </si>
  <si>
    <t>Trial A5</t>
  </si>
  <si>
    <t>AVERAGE</t>
  </si>
  <si>
    <t>STD DEV</t>
  </si>
  <si>
    <t>MODE B: NORMAL OPERATION (~70% joystick - typical cruise speed)</t>
  </si>
  <si>
    <t>Trial B1</t>
  </si>
  <si>
    <t>Trial B2</t>
  </si>
  <si>
    <t>Trial B3</t>
  </si>
  <si>
    <t>Trial B4</t>
  </si>
  <si>
    <t>Trial B5</t>
  </si>
  <si>
    <t>ACCEPTANCE CRITERIA</t>
  </si>
  <si>
    <t>TBD - Record actual times (typical industrial crane: 60-90 sec for 8m lift)</t>
  </si>
  <si>
    <t>Flag if &gt;120s or &lt;40s for review</t>
  </si>
  <si>
    <t>PASS / FAIL</t>
  </si>
  <si>
    <t>SUMMARY COMMENTS</t>
  </si>
  <si>
    <t>TECHNICIAN SIGNATURE</t>
  </si>
  <si>
    <t>SUPERVISOR SIGNATURE</t>
  </si>
  <si>
    <t>____________________</t>
  </si>
  <si>
    <t>Distance (m)</t>
  </si>
  <si>
    <t>☐ PASS</t>
  </si>
  <si>
    <t>Time (s)</t>
  </si>
  <si>
    <t>☐ FAIL</t>
  </si>
  <si>
    <t>DATE</t>
  </si>
  <si>
    <t>Speed (m/s)</t>
  </si>
  <si>
    <t>Speed (km/h)</t>
  </si>
  <si>
    <t>Motor Temp (°C)</t>
  </si>
  <si>
    <t>Controller Temp (°C)</t>
  </si>
  <si>
    <t>Notes</t>
  </si>
  <si>
    <t>PERF-001: LIFT SPEED (45T to 2H)</t>
  </si>
  <si>
    <t>Objective: Measure sideshift mechanism speed across height levels</t>
  </si>
  <si>
    <t>Standard: AS2359 Australian Straddle Carrier Standard</t>
  </si>
  <si>
    <t>FULL STROKE MEASURED (mm)</t>
  </si>
  <si>
    <t>Trial 1</t>
  </si>
  <si>
    <t>Trial 2</t>
  </si>
  <si>
    <t>Trial 3</t>
  </si>
  <si>
    <t>Trial 4</t>
  </si>
  <si>
    <t>Trial 5</t>
  </si>
  <si>
    <t>TBD - Typical straddle: 20-30 sec for 600mm (record actual, hydraulic dependent)</t>
  </si>
  <si>
    <t>Flag if &gt;45s or jerky movement observed</t>
  </si>
  <si>
    <t>Stroke (mm)</t>
  </si>
  <si>
    <t>Speed (mm/s)</t>
  </si>
  <si>
    <t>Mode A/B</t>
  </si>
  <si>
    <t>Direction L/R</t>
  </si>
  <si>
    <t>PERF-002: SIDESHIFT SPEED (0 to FULL STROKE)</t>
  </si>
  <si>
    <t>Objective: Measure traction motor performance and coast-down distance</t>
  </si>
  <si>
    <t>Standard: CMAA Overhead Crane Performance Test (adapted)</t>
  </si>
  <si>
    <t>INITIAL BATTERY SOC (%)</t>
  </si>
  <si>
    <t>EMPTY VEHICLE TEST (5 Trials)</t>
  </si>
  <si>
    <t>LOADED VEHICLE TEST - 45-ton Container at 2H (5 Trials)</t>
  </si>
  <si>
    <t>ACCELERATION PERFORMANCE SUMMARY</t>
  </si>
  <si>
    <t>Condition</t>
  </si>
  <si>
    <t>Empty</t>
  </si>
  <si>
    <t>Loaded</t>
  </si>
  <si>
    <t>Design target: Empty &lt;10s, Loaded &lt;15s for 50m (confirm after first campaign)</t>
  </si>
  <si>
    <t>Longer coast distance = better regen efficiency proof</t>
  </si>
  <si>
    <t>Avg Time (s)</t>
  </si>
  <si>
    <t>Time to 50m (s)</t>
  </si>
  <si>
    <t>Avg Speed (km/h)</t>
  </si>
  <si>
    <t>Avg Coast Distance (m)</t>
  </si>
  <si>
    <t>Coast Distance (m)</t>
  </si>
  <si>
    <t>Peak Motor Temp (°C)</t>
  </si>
  <si>
    <t>Coast Time (s)</t>
  </si>
  <si>
    <t>PERF-003: ACCELERATION (0 to 15 km/h, 50m)</t>
  </si>
  <si>
    <t>Objective: Demonstrate regen braking reduces energy vs mechanical brake</t>
  </si>
  <si>
    <t>Approach: Comparative testing (Regen vs Mechanical Brake profiles)</t>
  </si>
  <si>
    <t>SERIES A: REGEN ACTIVE (Baseline - 10 cycles of Accel 30s + Coast 10s)</t>
  </si>
  <si>
    <t>Battery SOC at START (%)</t>
  </si>
  <si>
    <t>Battery SOC at END (%)</t>
  </si>
  <si>
    <t>ΔSOC (%)</t>
  </si>
  <si>
    <t>Total kWh Used (calc)</t>
  </si>
  <si>
    <t>Motor Peak Temp (°C)</t>
  </si>
  <si>
    <t>Controller Peak Temp (°C)</t>
  </si>
  <si>
    <t>SERIES B: MECHANICAL BRAKE PROFILE (Control - 10 cycles, 30min cooldown first)</t>
  </si>
  <si>
    <t>REGEN EFFICIENCY COMPARISON</t>
  </si>
  <si>
    <t>Parameter</t>
  </si>
  <si>
    <t>Total kWh Used</t>
  </si>
  <si>
    <t>Regen PROVEN if: Smooth deceleration + ΔSOC_Regen &lt; ΔSOC_Mechanical</t>
  </si>
  <si>
    <t>Target: Regen should consume 15-25% LESS energy than mechanical brake</t>
  </si>
  <si>
    <t>Flag if mechanical brake needed to stop (indicates potential regen loss)</t>
  </si>
  <si>
    <t>Value</t>
  </si>
  <si>
    <t>Regen Active (A)</t>
  </si>
  <si>
    <t>Mechanical Brake (B)</t>
  </si>
  <si>
    <t>Difference</t>
  </si>
  <si>
    <t>Improvement %</t>
  </si>
  <si>
    <t>PERF-004: REGENERATIVE BRAKING (COMPARATIVE)</t>
  </si>
  <si>
    <t>Objective: Verify 4-wheel steer system and measure minimum turning radius</t>
  </si>
  <si>
    <t>Standard: ISO 4310 Straddle Carriers Performance Test</t>
  </si>
  <si>
    <t>GROUND LEVEL TEST (Container at ground, low COG)</t>
  </si>
  <si>
    <t>2H HEIGHT TEST (Container at 2H, high COG - worst case)</t>
  </si>
  <si>
    <t>TURNING RADIUS COMPARISON</t>
  </si>
  <si>
    <t>Height Level</t>
  </si>
  <si>
    <t>Ground Level</t>
  </si>
  <si>
    <t>2H Height</t>
  </si>
  <si>
    <t>Design Target: ≤6m inner radius (ISO standard; validate after first campaign)</t>
  </si>
  <si>
    <t>Observation: 2H height should have slightly larger radius due to COG effect</t>
  </si>
  <si>
    <t>Flag if radius &gt;7m or steering feels sluggish</t>
  </si>
  <si>
    <t>Inner Radius (m)</t>
  </si>
  <si>
    <t>Avg Inner Radius (m)</t>
  </si>
  <si>
    <t>Outer Radius (m)</t>
  </si>
  <si>
    <t>Avg Outer Radius (m)</t>
  </si>
  <si>
    <t>Steering Smooth? Y/N</t>
  </si>
  <si>
    <t>Expected Behavior</t>
  </si>
  <si>
    <t>Better (lower COG)</t>
  </si>
  <si>
    <t>Larger (higher COG effect)</t>
  </si>
  <si>
    <t>Container Stable? Y/N</t>
  </si>
  <si>
    <t>Motor Temp Normal? Y/N</t>
  </si>
  <si>
    <t>Slipping? Y/N</t>
  </si>
  <si>
    <t>PERF-005: TURNING RADIUS (4WS, ISO 4310)</t>
  </si>
  <si>
    <t>Objective: Verify joystick control linearity and operator feel</t>
  </si>
  <si>
    <t>Approach: Qualitative assessment (operator feedback)</t>
  </si>
  <si>
    <t>TECHNICIAN NAME (Operator)</t>
  </si>
  <si>
    <t>JOYSTICK POSITION 25% TEST</t>
  </si>
  <si>
    <t>Speed Response</t>
  </si>
  <si>
    <t>Acceleration</t>
  </si>
  <si>
    <t>Linearity</t>
  </si>
  <si>
    <t>Other Observations</t>
  </si>
  <si>
    <t>JOYSTICK POSITION 50% TEST</t>
  </si>
  <si>
    <t>JOYSTICK POSITION 75% TEST</t>
  </si>
  <si>
    <t>JOYSTICK POSITION 100% TEST (FULL THROTTLE)</t>
  </si>
  <si>
    <t>OVERALL ASSESSMENT</t>
  </si>
  <si>
    <t>Dead Band Detected?</t>
  </si>
  <si>
    <t>Stickiness/Creep?</t>
  </si>
  <si>
    <t>Coasting Feel Normal?</t>
  </si>
  <si>
    <t>PASS: No perceivable lag + smooth acceleration + proportional response</t>
  </si>
  <si>
    <t>FLAG: Any jerking, dead band, or delayed response → report to PLC engineer</t>
  </si>
  <si>
    <t>DETAILED COMMENTS</t>
  </si>
  <si>
    <t>☐ Smooth</t>
  </si>
  <si>
    <t>☐ Proportional</t>
  </si>
  <si>
    <t>☐ No</t>
  </si>
  <si>
    <t>☐ Yes</t>
  </si>
  <si>
    <t>☐ Slight Lag</t>
  </si>
  <si>
    <t>☐ Minor Jerk</t>
  </si>
  <si>
    <t>☐ Non-linear (review needed)</t>
  </si>
  <si>
    <t>☐ Yes (describe below)</t>
  </si>
  <si>
    <t>☐ No (describe below)</t>
  </si>
  <si>
    <t>☐ FLAG FOR REVIEW</t>
  </si>
  <si>
    <t>☐ Noticeable Delay</t>
  </si>
  <si>
    <t>☐ Significant Jerk</t>
  </si>
  <si>
    <t>PERF-006: JOYSTICK RESPONSIVENESS (QUALITATIVE)</t>
  </si>
  <si>
    <t>Objective: Monitor motor and controller temperatures during operation</t>
  </si>
  <si>
    <t>Condition: No Load + Full Load 45-ton (compare thermal signatures)</t>
  </si>
  <si>
    <t>NO LOAD TEST - Continuous 5-min acceleration cycles</t>
  </si>
  <si>
    <t>Time Point</t>
  </si>
  <si>
    <t>Start</t>
  </si>
  <si>
    <t>1 min</t>
  </si>
  <si>
    <t>2 min</t>
  </si>
  <si>
    <t>3 min</t>
  </si>
  <si>
    <t>4 min</t>
  </si>
  <si>
    <t>5 min (Peak)</t>
  </si>
  <si>
    <t>Peak Motor Temp</t>
  </si>
  <si>
    <t>FULL LOAD TEST - 45-ton at 2H height (Repeat 2-3 cycles, 5min each)</t>
  </si>
  <si>
    <t>THERMAL DELTA ANALYSIS</t>
  </si>
  <si>
    <t>Peak Controller Temp (°C)</t>
  </si>
  <si>
    <t>Expected Delta</t>
  </si>
  <si>
    <t>THERMAL RUNAWAY CHECK</t>
  </si>
  <si>
    <t>Thermal Runaway Detected? (temp keeps rising despite reduced input)</t>
  </si>
  <si>
    <t>Overcurrent Warning Displayed?</t>
  </si>
  <si>
    <t>PASS: Motor &lt;80°C, Controller &lt;70°C during 5-min continuous cycle</t>
  </si>
  <si>
    <t>CAUTION: If temps exceed limits, reduce load/cycle duration; flag for thermal review</t>
  </si>
  <si>
    <t>FAIL: Thermal runaway → investigate motor/cooling system immediately</t>
  </si>
  <si>
    <t>PASS / FAIL / CAUTION</t>
  </si>
  <si>
    <t>No Load</t>
  </si>
  <si>
    <t>---</t>
  </si>
  <si>
    <t>Full Load</t>
  </si>
  <si>
    <t>☐ CAUTION</t>
  </si>
  <si>
    <t>Before any operation</t>
  </si>
  <si>
    <t>During accel</t>
  </si>
  <si>
    <t>Peak no-load</t>
  </si>
  <si>
    <t>Target &lt;70°C continuous</t>
  </si>
  <si>
    <t>Under load</t>
  </si>
  <si>
    <t>Peak under load</t>
  </si>
  <si>
    <t>Target &lt;75-80°C under load</t>
  </si>
  <si>
    <t>Delta (Full - No Load)</t>
  </si>
  <si>
    <t>+10-20°C typical</t>
  </si>
  <si>
    <t>☐ FLAG</t>
  </si>
  <si>
    <t>PERF-007: MOTOR THERMAL &amp; CURRENT BEHAVIOR</t>
  </si>
  <si>
    <t>Objective: Measure battery energy consumption per complete operational cycle</t>
  </si>
  <si>
    <t>Cycle: Lift ground-to-2H + Travel 50m + Lower to ground</t>
  </si>
  <si>
    <t>BATTERY CAPACITY REFERENCE</t>
  </si>
  <si>
    <t>Total Capacity</t>
  </si>
  <si>
    <t>Pack Configuration</t>
  </si>
  <si>
    <t>Conversion</t>
  </si>
  <si>
    <t>PROFILE A: HVAC OFF (Baseline - 10 complete cycles)</t>
  </si>
  <si>
    <t>Initial Battery SOC (%)</t>
  </si>
  <si>
    <t>Final Battery SOC (%)</t>
  </si>
  <si>
    <t>Total kWh Consumed</t>
  </si>
  <si>
    <t>Energy per Cycle</t>
  </si>
  <si>
    <t>Duration (min)</t>
  </si>
  <si>
    <t>PROFILE B: HVAC ON (Realistic daily operation - 10 complete cycles, 5min cooldown after Profile A)</t>
  </si>
  <si>
    <t>ENERGY EFFICIENCY COMPARISON</t>
  </si>
  <si>
    <t>Metric</t>
  </si>
  <si>
    <t>Energy per Cycle (kWh)</t>
  </si>
  <si>
    <t>TBD - Record actual (typical battery vehicle: 0.3-0.6 kWh/cycle)</t>
  </si>
  <si>
    <t>HVAC Impact: Expect 10-20% additional consumption (normal)</t>
  </si>
  <si>
    <t>Flag if energy per cycle &gt;0.8 kWh (investigate thermal/mechanical inefficiency)</t>
  </si>
  <si>
    <t>CYCLE EFFICIENCY NOTES</t>
  </si>
  <si>
    <t>Average Speed During Travel</t>
  </si>
  <si>
    <t>Typical per Cycle</t>
  </si>
  <si>
    <t>Battery Management</t>
  </si>
  <si>
    <t>114.52 kWh</t>
  </si>
  <si>
    <t>2 x 57.26 kWh in series</t>
  </si>
  <si>
    <t>~50</t>
  </si>
  <si>
    <t>HVAC OFF (A)</t>
  </si>
  <si>
    <t>3-5 km/h</t>
  </si>
  <si>
    <t>~5 min (1.5 min lift + 2 min travel + 1.5 min lower)</t>
  </si>
  <si>
    <t>Maintain SOC between 20-80% during testing</t>
  </si>
  <si>
    <t>HVAC ON (B)</t>
  </si>
  <si>
    <t>HVAC Penalty %</t>
  </si>
  <si>
    <t>PERF-008: ENERGY PER CYCLE (LIFT+TRAVEL+LOWER)</t>
  </si>
  <si>
    <t>SOC</t>
  </si>
  <si>
    <t>DAI NGUYEN</t>
  </si>
  <si>
    <t>20000kgs</t>
  </si>
  <si>
    <t>HEIGHT LEVEL TEST 1: GROUND LEVEL (Left Joystick)</t>
  </si>
  <si>
    <t>Mid --&gt; Cabin</t>
  </si>
  <si>
    <t>HEIGHT LEVEL TEST 1: GROUND LEVEL (Right Joystick)</t>
  </si>
  <si>
    <t>Mid --&gt; Powerpack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</si>
</sst>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"/>
  <sheetViews>
    <sheetView topLeftCell="A28" workbookViewId="0">
      <selection activeCell="A30" sqref="A30"/>
    </sheetView>
  </sheetViews>
  <sheetFormatPr defaultRowHeight="15" x14ac:dyDescent="0.25"/>
  <cols>
    <col min="1" max="1" width="50.7109375" customWidth="1"/>
  </cols>
  <sheetData>
    <row r="1" spans="1:1" x14ac:dyDescent="0.25">
      <c r="A1" t="s">
        <v>39</v>
      </c>
    </row>
    <row r="2" spans="1:1" x14ac:dyDescent="0.25">
      <c r="A2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4" spans="1:1" x14ac:dyDescent="0.25">
      <c r="A44" t="s">
        <v>35</v>
      </c>
    </row>
    <row r="45" spans="1:1" x14ac:dyDescent="0.25">
      <c r="A45" t="s">
        <v>36</v>
      </c>
    </row>
    <row r="46" spans="1:1" x14ac:dyDescent="0.25">
      <c r="A46" t="s">
        <v>37</v>
      </c>
    </row>
    <row r="47" spans="1:1" x14ac:dyDescent="0.25">
      <c r="A4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opLeftCell="A4" workbookViewId="0">
      <selection activeCell="B6" sqref="B6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4.7109375" customWidth="1"/>
    <col min="6" max="6" width="19.7109375" customWidth="1"/>
    <col min="7" max="7" width="22.7109375" customWidth="1"/>
    <col min="8" max="8" width="8.7109375" customWidth="1"/>
  </cols>
  <sheetData>
    <row r="1" spans="1:9" x14ac:dyDescent="0.25">
      <c r="A1" t="s">
        <v>83</v>
      </c>
    </row>
    <row r="2" spans="1:9" x14ac:dyDescent="0.25">
      <c r="A2" t="s">
        <v>40</v>
      </c>
    </row>
    <row r="3" spans="1:9" x14ac:dyDescent="0.25">
      <c r="A3" t="s">
        <v>41</v>
      </c>
    </row>
    <row r="5" spans="1:9" x14ac:dyDescent="0.25">
      <c r="A5" t="s">
        <v>42</v>
      </c>
      <c r="B5" s="1">
        <v>46020</v>
      </c>
    </row>
    <row r="6" spans="1:9" x14ac:dyDescent="0.25">
      <c r="A6" t="s">
        <v>43</v>
      </c>
      <c r="B6" t="s">
        <v>265</v>
      </c>
    </row>
    <row r="7" spans="1:9" x14ac:dyDescent="0.25">
      <c r="A7" t="s">
        <v>44</v>
      </c>
      <c r="B7" t="s">
        <v>265</v>
      </c>
    </row>
    <row r="8" spans="1:9" x14ac:dyDescent="0.25">
      <c r="A8" t="s">
        <v>45</v>
      </c>
      <c r="B8">
        <v>26</v>
      </c>
    </row>
    <row r="9" spans="1:9" x14ac:dyDescent="0.25">
      <c r="A9" t="s">
        <v>46</v>
      </c>
      <c r="B9" t="s">
        <v>72</v>
      </c>
    </row>
    <row r="10" spans="1:9" x14ac:dyDescent="0.25">
      <c r="A10" t="s">
        <v>47</v>
      </c>
      <c r="B10" t="s">
        <v>72</v>
      </c>
    </row>
    <row r="11" spans="1:9" x14ac:dyDescent="0.25">
      <c r="A11" t="s">
        <v>48</v>
      </c>
      <c r="B11" t="s">
        <v>72</v>
      </c>
    </row>
    <row r="12" spans="1:9" x14ac:dyDescent="0.25">
      <c r="A12" t="s">
        <v>49</v>
      </c>
      <c r="B12" t="s">
        <v>266</v>
      </c>
    </row>
    <row r="14" spans="1:9" x14ac:dyDescent="0.25">
      <c r="A14" t="s">
        <v>50</v>
      </c>
    </row>
    <row r="15" spans="1:9" x14ac:dyDescent="0.25">
      <c r="A15" t="s">
        <v>51</v>
      </c>
      <c r="B15" t="s">
        <v>73</v>
      </c>
      <c r="C15" t="s">
        <v>75</v>
      </c>
      <c r="D15" t="s">
        <v>78</v>
      </c>
      <c r="E15" t="s">
        <v>79</v>
      </c>
      <c r="F15" t="s">
        <v>80</v>
      </c>
      <c r="G15" t="s">
        <v>81</v>
      </c>
      <c r="H15" t="s">
        <v>264</v>
      </c>
      <c r="I15" t="s">
        <v>82</v>
      </c>
    </row>
    <row r="16" spans="1:9" x14ac:dyDescent="0.25">
      <c r="A16" t="s">
        <v>52</v>
      </c>
      <c r="C16">
        <v>59.23</v>
      </c>
    </row>
    <row r="17" spans="1:9" x14ac:dyDescent="0.25">
      <c r="A17" t="s">
        <v>53</v>
      </c>
      <c r="C17">
        <v>57.79</v>
      </c>
    </row>
    <row r="18" spans="1:9" x14ac:dyDescent="0.25">
      <c r="A18" t="s">
        <v>54</v>
      </c>
      <c r="C18">
        <v>57.05</v>
      </c>
    </row>
    <row r="19" spans="1:9" x14ac:dyDescent="0.25">
      <c r="A19" t="s">
        <v>55</v>
      </c>
      <c r="C19">
        <v>57.44</v>
      </c>
    </row>
    <row r="20" spans="1:9" x14ac:dyDescent="0.25">
      <c r="A20" t="s">
        <v>56</v>
      </c>
      <c r="C20">
        <v>58.35</v>
      </c>
    </row>
    <row r="21" spans="1:9" x14ac:dyDescent="0.25">
      <c r="A21" t="s">
        <v>57</v>
      </c>
      <c r="B21">
        <f ca="1">AVERAGE(B17:B21)</f>
        <v>0</v>
      </c>
      <c r="C21">
        <f>AVERAGE(C16:C20)</f>
        <v>57.972000000000001</v>
      </c>
      <c r="D21">
        <f ca="1">B22/C22</f>
        <v>0</v>
      </c>
      <c r="E21">
        <f>D22*3.6</f>
        <v>0</v>
      </c>
      <c r="F21">
        <f ca="1">AVERAGE(F17:F21)</f>
        <v>0</v>
      </c>
      <c r="G21">
        <f ca="1">AVERAGE(G17:G21)</f>
        <v>0</v>
      </c>
    </row>
    <row r="22" spans="1:9" x14ac:dyDescent="0.25">
      <c r="A22" t="s">
        <v>58</v>
      </c>
      <c r="B22">
        <f ca="1">STDEV(B17:B21)</f>
        <v>0</v>
      </c>
      <c r="C22">
        <f>STDEV(C16:C20)</f>
        <v>0.85024702292921917</v>
      </c>
      <c r="F22">
        <f ca="1">STDEV(F17:F21)</f>
        <v>0</v>
      </c>
      <c r="G22">
        <f ca="1">STDEV(G17:G21)</f>
        <v>0</v>
      </c>
    </row>
    <row r="24" spans="1:9" x14ac:dyDescent="0.25">
      <c r="A24" t="s">
        <v>59</v>
      </c>
    </row>
    <row r="25" spans="1:9" x14ac:dyDescent="0.25">
      <c r="A25" t="s">
        <v>51</v>
      </c>
      <c r="B25" t="s">
        <v>73</v>
      </c>
      <c r="C25" t="s">
        <v>75</v>
      </c>
      <c r="D25" t="s">
        <v>78</v>
      </c>
      <c r="E25" t="s">
        <v>79</v>
      </c>
      <c r="F25" t="s">
        <v>80</v>
      </c>
      <c r="G25" t="s">
        <v>81</v>
      </c>
      <c r="H25" t="s">
        <v>264</v>
      </c>
      <c r="I25" t="s">
        <v>82</v>
      </c>
    </row>
    <row r="26" spans="1:9" x14ac:dyDescent="0.25">
      <c r="A26" t="s">
        <v>60</v>
      </c>
      <c r="C26" s="2">
        <v>1.1465277777777778E-3</v>
      </c>
    </row>
    <row r="27" spans="1:9" x14ac:dyDescent="0.25">
      <c r="A27" t="s">
        <v>61</v>
      </c>
      <c r="C27" s="2">
        <v>1.0401620370370371E-3</v>
      </c>
    </row>
    <row r="28" spans="1:9" x14ac:dyDescent="0.25">
      <c r="A28" t="s">
        <v>62</v>
      </c>
      <c r="C28" s="2">
        <v>1.0452546296296297E-3</v>
      </c>
    </row>
    <row r="29" spans="1:9" x14ac:dyDescent="0.25">
      <c r="A29" t="s">
        <v>63</v>
      </c>
      <c r="C29" s="2">
        <v>1.0153935185185186E-3</v>
      </c>
    </row>
    <row r="30" spans="1:9" x14ac:dyDescent="0.25">
      <c r="A30" t="s">
        <v>64</v>
      </c>
      <c r="C30" s="2">
        <v>9.9386574074074069E-4</v>
      </c>
    </row>
    <row r="31" spans="1:9" x14ac:dyDescent="0.25">
      <c r="A31" t="s">
        <v>57</v>
      </c>
      <c r="B31">
        <f ca="1">AVERAGE(B28:B32)</f>
        <v>0</v>
      </c>
      <c r="C31" s="2">
        <f>AVERAGE(C26:C30)</f>
        <v>1.0482407407407406E-3</v>
      </c>
      <c r="D31" t="e">
        <f>B33/C33</f>
        <v>#DIV/0!</v>
      </c>
      <c r="E31">
        <f>D33*3.6</f>
        <v>0</v>
      </c>
      <c r="F31">
        <f ca="1">AVERAGE(F28:F32)</f>
        <v>0</v>
      </c>
      <c r="G31">
        <f ca="1">AVERAGE(G28:G32)</f>
        <v>0</v>
      </c>
    </row>
    <row r="32" spans="1:9" x14ac:dyDescent="0.25">
      <c r="A32" t="s">
        <v>58</v>
      </c>
      <c r="B32">
        <f ca="1">STDEV(B28:B32)</f>
        <v>0</v>
      </c>
      <c r="C32">
        <f>STDEV(C26:C30)</f>
        <v>5.8673044482402813E-5</v>
      </c>
      <c r="F32">
        <f ca="1">STDEV(F28:F32)</f>
        <v>0</v>
      </c>
      <c r="G32">
        <f ca="1">STDEV(G28:G32)</f>
        <v>0</v>
      </c>
    </row>
    <row r="34" spans="1:4" x14ac:dyDescent="0.25">
      <c r="A34" t="s">
        <v>65</v>
      </c>
    </row>
    <row r="35" spans="1:4" x14ac:dyDescent="0.25">
      <c r="A35" t="s">
        <v>66</v>
      </c>
    </row>
    <row r="36" spans="1:4" x14ac:dyDescent="0.25">
      <c r="A36" t="s">
        <v>67</v>
      </c>
    </row>
    <row r="38" spans="1:4" x14ac:dyDescent="0.25">
      <c r="A38" t="s">
        <v>68</v>
      </c>
      <c r="B38" t="s">
        <v>74</v>
      </c>
      <c r="C38" t="s">
        <v>76</v>
      </c>
    </row>
    <row r="40" spans="1:4" x14ac:dyDescent="0.25">
      <c r="A40" t="s">
        <v>69</v>
      </c>
    </row>
    <row r="44" spans="1:4" x14ac:dyDescent="0.25">
      <c r="A44" t="s">
        <v>70</v>
      </c>
      <c r="B44" t="s">
        <v>72</v>
      </c>
      <c r="C44" t="s">
        <v>77</v>
      </c>
      <c r="D44" t="s">
        <v>72</v>
      </c>
    </row>
    <row r="45" spans="1:4" x14ac:dyDescent="0.25">
      <c r="A45" t="s">
        <v>71</v>
      </c>
      <c r="B45" t="s">
        <v>72</v>
      </c>
      <c r="C45" t="s">
        <v>77</v>
      </c>
      <c r="D45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selection activeCell="B6" sqref="B6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2.7109375" customWidth="1"/>
    <col min="5" max="5" width="19.7109375" customWidth="1"/>
    <col min="6" max="6" width="22.7109375" customWidth="1"/>
    <col min="7" max="7" width="10.7109375" customWidth="1"/>
    <col min="8" max="8" width="15.7109375" customWidth="1"/>
  </cols>
  <sheetData>
    <row r="1" spans="1:8" x14ac:dyDescent="0.25">
      <c r="A1" t="s">
        <v>98</v>
      </c>
    </row>
    <row r="2" spans="1:8" x14ac:dyDescent="0.25">
      <c r="A2" t="s">
        <v>84</v>
      </c>
    </row>
    <row r="3" spans="1:8" x14ac:dyDescent="0.25">
      <c r="A3" t="s">
        <v>85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265</v>
      </c>
    </row>
    <row r="7" spans="1:8" x14ac:dyDescent="0.25">
      <c r="A7" t="s">
        <v>86</v>
      </c>
      <c r="B7">
        <v>500</v>
      </c>
    </row>
    <row r="9" spans="1:8" x14ac:dyDescent="0.25">
      <c r="A9" t="s">
        <v>267</v>
      </c>
    </row>
    <row r="10" spans="1:8" x14ac:dyDescent="0.25">
      <c r="A10" t="s">
        <v>268</v>
      </c>
    </row>
    <row r="11" spans="1:8" x14ac:dyDescent="0.25">
      <c r="A11" t="s">
        <v>51</v>
      </c>
      <c r="B11" t="s">
        <v>94</v>
      </c>
      <c r="C11" t="s">
        <v>75</v>
      </c>
      <c r="D11" t="s">
        <v>95</v>
      </c>
      <c r="E11" t="s">
        <v>80</v>
      </c>
      <c r="F11" t="s">
        <v>81</v>
      </c>
      <c r="G11" t="s">
        <v>96</v>
      </c>
      <c r="H11" t="s">
        <v>97</v>
      </c>
    </row>
    <row r="12" spans="1:8" x14ac:dyDescent="0.25">
      <c r="A12" t="s">
        <v>87</v>
      </c>
      <c r="B12">
        <v>250</v>
      </c>
      <c r="C12">
        <v>4.6100000000000003</v>
      </c>
    </row>
    <row r="13" spans="1:8" x14ac:dyDescent="0.25">
      <c r="A13" t="s">
        <v>88</v>
      </c>
      <c r="B13">
        <v>250</v>
      </c>
      <c r="C13">
        <v>3.79</v>
      </c>
    </row>
    <row r="14" spans="1:8" x14ac:dyDescent="0.25">
      <c r="A14" t="s">
        <v>89</v>
      </c>
      <c r="B14">
        <v>250</v>
      </c>
      <c r="C14">
        <v>3.81</v>
      </c>
    </row>
    <row r="15" spans="1:8" x14ac:dyDescent="0.25">
      <c r="A15" t="s">
        <v>90</v>
      </c>
      <c r="B15">
        <v>250</v>
      </c>
      <c r="C15">
        <v>3.73</v>
      </c>
    </row>
    <row r="16" spans="1:8" x14ac:dyDescent="0.25">
      <c r="A16" t="s">
        <v>91</v>
      </c>
      <c r="B16">
        <v>250</v>
      </c>
      <c r="C16">
        <v>3.37</v>
      </c>
    </row>
    <row r="17" spans="1:8" x14ac:dyDescent="0.25">
      <c r="A17" t="s">
        <v>57</v>
      </c>
      <c r="C17">
        <f>AVERAGE(C12:C16)</f>
        <v>3.8620000000000005</v>
      </c>
      <c r="D17">
        <f>B18/C18</f>
        <v>0</v>
      </c>
      <c r="E17">
        <f ca="1">AVERAGE(E13:E17)</f>
        <v>0</v>
      </c>
      <c r="F17">
        <f ca="1">AVERAGE(F13:F17)</f>
        <v>0</v>
      </c>
    </row>
    <row r="18" spans="1:8" x14ac:dyDescent="0.25">
      <c r="A18" t="s">
        <v>58</v>
      </c>
      <c r="C18">
        <f>STDEV(C12:C16)</f>
        <v>0.45466471162824712</v>
      </c>
      <c r="E18">
        <f ca="1">STDEV(E13:E17)</f>
        <v>0</v>
      </c>
      <c r="F18">
        <f ca="1">STDEV(F13:F17)</f>
        <v>0</v>
      </c>
    </row>
    <row r="20" spans="1:8" x14ac:dyDescent="0.25">
      <c r="A20" t="s">
        <v>269</v>
      </c>
    </row>
    <row r="21" spans="1:8" x14ac:dyDescent="0.25">
      <c r="A21" t="s">
        <v>268</v>
      </c>
    </row>
    <row r="22" spans="1:8" x14ac:dyDescent="0.25">
      <c r="A22" t="s">
        <v>51</v>
      </c>
      <c r="B22" t="s">
        <v>94</v>
      </c>
      <c r="C22" t="s">
        <v>75</v>
      </c>
      <c r="D22" t="s">
        <v>95</v>
      </c>
      <c r="E22" t="s">
        <v>80</v>
      </c>
      <c r="F22" t="s">
        <v>81</v>
      </c>
      <c r="G22" t="s">
        <v>96</v>
      </c>
      <c r="H22" t="s">
        <v>97</v>
      </c>
    </row>
    <row r="23" spans="1:8" x14ac:dyDescent="0.25">
      <c r="A23" t="s">
        <v>87</v>
      </c>
      <c r="B23">
        <v>250</v>
      </c>
      <c r="C23">
        <v>4.26</v>
      </c>
    </row>
    <row r="24" spans="1:8" x14ac:dyDescent="0.25">
      <c r="A24" t="s">
        <v>88</v>
      </c>
      <c r="B24">
        <v>250</v>
      </c>
      <c r="C24">
        <v>3.51</v>
      </c>
    </row>
    <row r="25" spans="1:8" x14ac:dyDescent="0.25">
      <c r="A25" t="s">
        <v>89</v>
      </c>
      <c r="B25">
        <v>250</v>
      </c>
      <c r="C25">
        <v>3.5</v>
      </c>
    </row>
    <row r="26" spans="1:8" x14ac:dyDescent="0.25">
      <c r="A26" t="s">
        <v>90</v>
      </c>
      <c r="B26">
        <v>250</v>
      </c>
      <c r="C26">
        <v>3.28</v>
      </c>
    </row>
    <row r="27" spans="1:8" x14ac:dyDescent="0.25">
      <c r="A27" t="s">
        <v>91</v>
      </c>
      <c r="B27">
        <v>250</v>
      </c>
      <c r="C27">
        <v>3.39</v>
      </c>
    </row>
    <row r="28" spans="1:8" x14ac:dyDescent="0.25">
      <c r="A28" t="s">
        <v>57</v>
      </c>
      <c r="C28">
        <f>AVERAGE(C23:C27)</f>
        <v>3.5879999999999996</v>
      </c>
      <c r="D28">
        <f>B29/C29</f>
        <v>0</v>
      </c>
      <c r="E28">
        <f ca="1">AVERAGE(E24:E28)</f>
        <v>0</v>
      </c>
      <c r="F28">
        <f ca="1">AVERAGE(F24:F28)</f>
        <v>0</v>
      </c>
    </row>
    <row r="29" spans="1:8" x14ac:dyDescent="0.25">
      <c r="A29" t="s">
        <v>58</v>
      </c>
      <c r="C29">
        <f>STDEV(C23:C27)</f>
        <v>0.38713046896362979</v>
      </c>
      <c r="E29">
        <f ca="1">STDEV(E24:E28)</f>
        <v>0</v>
      </c>
      <c r="F29">
        <f ca="1">STDEV(F24:F28)</f>
        <v>0</v>
      </c>
    </row>
    <row r="31" spans="1:8" x14ac:dyDescent="0.25">
      <c r="A31" t="s">
        <v>267</v>
      </c>
    </row>
    <row r="32" spans="1:8" x14ac:dyDescent="0.25">
      <c r="A32" t="s">
        <v>270</v>
      </c>
    </row>
    <row r="33" spans="1:8" x14ac:dyDescent="0.25">
      <c r="A33" t="s">
        <v>51</v>
      </c>
      <c r="B33" t="s">
        <v>94</v>
      </c>
      <c r="C33" t="s">
        <v>75</v>
      </c>
      <c r="D33" t="s">
        <v>95</v>
      </c>
      <c r="E33" t="s">
        <v>80</v>
      </c>
      <c r="F33" t="s">
        <v>81</v>
      </c>
      <c r="G33" t="s">
        <v>96</v>
      </c>
      <c r="H33" t="s">
        <v>97</v>
      </c>
    </row>
    <row r="34" spans="1:8" x14ac:dyDescent="0.25">
      <c r="A34" t="s">
        <v>87</v>
      </c>
      <c r="B34">
        <v>250</v>
      </c>
      <c r="C34">
        <v>3.6</v>
      </c>
    </row>
    <row r="35" spans="1:8" x14ac:dyDescent="0.25">
      <c r="A35" t="s">
        <v>88</v>
      </c>
      <c r="B35">
        <v>250</v>
      </c>
      <c r="C35">
        <v>3.65</v>
      </c>
    </row>
    <row r="36" spans="1:8" x14ac:dyDescent="0.25">
      <c r="A36" t="s">
        <v>89</v>
      </c>
      <c r="B36">
        <v>250</v>
      </c>
      <c r="C36">
        <v>3.73</v>
      </c>
    </row>
    <row r="37" spans="1:8" x14ac:dyDescent="0.25">
      <c r="A37" t="s">
        <v>90</v>
      </c>
      <c r="B37">
        <v>250</v>
      </c>
      <c r="C37">
        <v>3.84</v>
      </c>
    </row>
    <row r="38" spans="1:8" x14ac:dyDescent="0.25">
      <c r="A38" t="s">
        <v>91</v>
      </c>
      <c r="B38">
        <v>250</v>
      </c>
      <c r="C38">
        <v>3.71</v>
      </c>
    </row>
    <row r="39" spans="1:8" x14ac:dyDescent="0.25">
      <c r="A39" t="s">
        <v>57</v>
      </c>
      <c r="C39">
        <f>AVERAGE(C34:C38)</f>
        <v>3.7060000000000004</v>
      </c>
      <c r="D39">
        <f>B40/C40</f>
        <v>0</v>
      </c>
      <c r="E39">
        <f ca="1">AVERAGE(E35:E39)</f>
        <v>0</v>
      </c>
      <c r="F39">
        <f ca="1">AVERAGE(F35:F39)</f>
        <v>0</v>
      </c>
    </row>
    <row r="40" spans="1:8" x14ac:dyDescent="0.25">
      <c r="A40" t="s">
        <v>58</v>
      </c>
      <c r="C40">
        <f>STDEV(C34:C38)</f>
        <v>9.0719347440333734E-2</v>
      </c>
      <c r="E40">
        <f ca="1">STDEV(E35:E39)</f>
        <v>0</v>
      </c>
      <c r="F40">
        <f ca="1">STDEV(F35:F39)</f>
        <v>0</v>
      </c>
    </row>
    <row r="42" spans="1:8" x14ac:dyDescent="0.25">
      <c r="A42" t="s">
        <v>269</v>
      </c>
    </row>
    <row r="43" spans="1:8" x14ac:dyDescent="0.25">
      <c r="A43" t="s">
        <v>270</v>
      </c>
    </row>
    <row r="44" spans="1:8" x14ac:dyDescent="0.25">
      <c r="A44" t="s">
        <v>51</v>
      </c>
      <c r="B44" t="s">
        <v>94</v>
      </c>
      <c r="C44" t="s">
        <v>75</v>
      </c>
      <c r="D44" t="s">
        <v>95</v>
      </c>
      <c r="E44" t="s">
        <v>80</v>
      </c>
      <c r="F44" t="s">
        <v>81</v>
      </c>
      <c r="G44" t="s">
        <v>96</v>
      </c>
      <c r="H44" t="s">
        <v>97</v>
      </c>
    </row>
    <row r="45" spans="1:8" x14ac:dyDescent="0.25">
      <c r="A45" t="s">
        <v>87</v>
      </c>
      <c r="B45">
        <v>250</v>
      </c>
      <c r="C45">
        <v>3.75</v>
      </c>
    </row>
    <row r="46" spans="1:8" x14ac:dyDescent="0.25">
      <c r="A46" t="s">
        <v>88</v>
      </c>
      <c r="B46">
        <v>250</v>
      </c>
      <c r="C46">
        <v>3.56</v>
      </c>
    </row>
    <row r="47" spans="1:8" x14ac:dyDescent="0.25">
      <c r="A47" t="s">
        <v>89</v>
      </c>
      <c r="B47">
        <v>250</v>
      </c>
      <c r="C47">
        <v>3.42</v>
      </c>
    </row>
    <row r="48" spans="1:8" x14ac:dyDescent="0.25">
      <c r="A48" t="s">
        <v>90</v>
      </c>
      <c r="B48">
        <v>250</v>
      </c>
      <c r="C48">
        <v>3.48</v>
      </c>
    </row>
    <row r="49" spans="1:6" x14ac:dyDescent="0.25">
      <c r="A49" t="s">
        <v>91</v>
      </c>
      <c r="B49">
        <v>250</v>
      </c>
      <c r="C49">
        <v>3.51</v>
      </c>
    </row>
    <row r="50" spans="1:6" x14ac:dyDescent="0.25">
      <c r="A50" t="s">
        <v>57</v>
      </c>
      <c r="C50">
        <f>AVERAGE(C45:C49)</f>
        <v>3.5439999999999996</v>
      </c>
      <c r="D50">
        <f>B51/C51</f>
        <v>0</v>
      </c>
      <c r="E50">
        <f ca="1">AVERAGE(E46:E50)</f>
        <v>0</v>
      </c>
      <c r="F50">
        <f ca="1">AVERAGE(F46:F50)</f>
        <v>0</v>
      </c>
    </row>
    <row r="51" spans="1:6" x14ac:dyDescent="0.25">
      <c r="A51" t="s">
        <v>58</v>
      </c>
      <c r="C51">
        <f>STDEV(C45:C49)</f>
        <v>0.12581732790041286</v>
      </c>
      <c r="E51">
        <f ca="1">STDEV(E46:E50)</f>
        <v>0</v>
      </c>
      <c r="F51">
        <f ca="1">STDEV(F46:F50)</f>
        <v>0</v>
      </c>
    </row>
    <row r="54" spans="1:6" x14ac:dyDescent="0.25">
      <c r="A54" t="s">
        <v>65</v>
      </c>
    </row>
    <row r="55" spans="1:6" x14ac:dyDescent="0.25">
      <c r="A55" s="3" t="s">
        <v>92</v>
      </c>
    </row>
    <row r="56" spans="1:6" x14ac:dyDescent="0.25">
      <c r="A56" s="3" t="s">
        <v>93</v>
      </c>
    </row>
    <row r="58" spans="1:6" x14ac:dyDescent="0.25">
      <c r="A58" t="s">
        <v>68</v>
      </c>
      <c r="B58" t="s">
        <v>74</v>
      </c>
      <c r="C58" t="s">
        <v>76</v>
      </c>
    </row>
    <row r="60" spans="1:6" x14ac:dyDescent="0.25">
      <c r="A60" t="s">
        <v>69</v>
      </c>
    </row>
    <row r="63" spans="1:6" x14ac:dyDescent="0.25">
      <c r="A63" t="s">
        <v>70</v>
      </c>
      <c r="B63" t="s">
        <v>72</v>
      </c>
      <c r="C63" t="s">
        <v>77</v>
      </c>
      <c r="D6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selection activeCell="F24" sqref="F24"/>
    </sheetView>
  </sheetViews>
  <sheetFormatPr defaultRowHeight="15" x14ac:dyDescent="0.25"/>
  <cols>
    <col min="1" max="1" width="50.7109375" customWidth="1"/>
    <col min="2" max="2" width="22.7109375" customWidth="1"/>
    <col min="3" max="3" width="19.7109375" customWidth="1"/>
    <col min="4" max="4" width="24.7109375" customWidth="1"/>
    <col min="5" max="5" width="22.7109375" customWidth="1"/>
    <col min="6" max="6" width="19.7109375" customWidth="1"/>
    <col min="7" max="7" width="22.7109375" customWidth="1"/>
    <col min="8" max="8" width="25.5703125" customWidth="1"/>
  </cols>
  <sheetData>
    <row r="1" spans="1:8" x14ac:dyDescent="0.25">
      <c r="A1" t="s">
        <v>117</v>
      </c>
    </row>
    <row r="2" spans="1:8" x14ac:dyDescent="0.25">
      <c r="A2" t="s">
        <v>99</v>
      </c>
    </row>
    <row r="3" spans="1:8" x14ac:dyDescent="0.25">
      <c r="A3" t="s">
        <v>100</v>
      </c>
    </row>
    <row r="5" spans="1:8" x14ac:dyDescent="0.25">
      <c r="A5" t="s">
        <v>42</v>
      </c>
      <c r="B5" s="1">
        <v>46021</v>
      </c>
    </row>
    <row r="6" spans="1:8" x14ac:dyDescent="0.25">
      <c r="A6" t="s">
        <v>43</v>
      </c>
      <c r="B6" t="s">
        <v>265</v>
      </c>
    </row>
    <row r="7" spans="1:8" x14ac:dyDescent="0.25">
      <c r="A7" t="s">
        <v>46</v>
      </c>
      <c r="B7" t="s">
        <v>72</v>
      </c>
    </row>
    <row r="8" spans="1:8" x14ac:dyDescent="0.25">
      <c r="A8" t="s">
        <v>101</v>
      </c>
      <c r="B8" t="s">
        <v>72</v>
      </c>
    </row>
    <row r="10" spans="1:8" x14ac:dyDescent="0.25">
      <c r="A10" t="s">
        <v>102</v>
      </c>
    </row>
    <row r="11" spans="1:8" x14ac:dyDescent="0.25">
      <c r="A11" t="s">
        <v>51</v>
      </c>
      <c r="B11" t="s">
        <v>73</v>
      </c>
      <c r="C11" t="s">
        <v>111</v>
      </c>
      <c r="D11" t="s">
        <v>79</v>
      </c>
      <c r="E11" t="s">
        <v>114</v>
      </c>
      <c r="F11" t="s">
        <v>116</v>
      </c>
      <c r="G11" t="s">
        <v>115</v>
      </c>
      <c r="H11" t="s">
        <v>82</v>
      </c>
    </row>
    <row r="12" spans="1:8" x14ac:dyDescent="0.25">
      <c r="A12" t="s">
        <v>87</v>
      </c>
      <c r="B12">
        <v>40</v>
      </c>
      <c r="C12">
        <v>0</v>
      </c>
      <c r="D12" t="e">
        <f>B12*3.6/C12</f>
        <v>#DIV/0!</v>
      </c>
    </row>
    <row r="13" spans="1:8" x14ac:dyDescent="0.25">
      <c r="A13" t="s">
        <v>88</v>
      </c>
      <c r="B13">
        <v>40</v>
      </c>
      <c r="C13">
        <v>0</v>
      </c>
      <c r="D13" t="e">
        <f>B13*3.6/C13</f>
        <v>#DIV/0!</v>
      </c>
    </row>
    <row r="14" spans="1:8" x14ac:dyDescent="0.25">
      <c r="A14" t="s">
        <v>89</v>
      </c>
      <c r="B14">
        <v>40</v>
      </c>
      <c r="C14">
        <v>0</v>
      </c>
      <c r="D14" t="e">
        <f>B14*3.6/C14</f>
        <v>#DIV/0!</v>
      </c>
    </row>
    <row r="15" spans="1:8" x14ac:dyDescent="0.25">
      <c r="A15" t="s">
        <v>90</v>
      </c>
      <c r="B15">
        <v>40</v>
      </c>
      <c r="C15">
        <v>0</v>
      </c>
      <c r="D15" t="e">
        <f>B15*3.6/C15</f>
        <v>#DIV/0!</v>
      </c>
    </row>
    <row r="16" spans="1:8" x14ac:dyDescent="0.25">
      <c r="A16" t="s">
        <v>91</v>
      </c>
      <c r="B16">
        <v>40</v>
      </c>
      <c r="C16">
        <v>0</v>
      </c>
      <c r="D16" t="e">
        <f>B16*3.6/C16</f>
        <v>#DIV/0!</v>
      </c>
    </row>
    <row r="17" spans="1:8" x14ac:dyDescent="0.25">
      <c r="A17" t="s">
        <v>57</v>
      </c>
      <c r="C17">
        <f>AVERAGE(C12:C16)</f>
        <v>0</v>
      </c>
      <c r="D17" t="e">
        <f>AVERAGE(D12:D16)</f>
        <v>#DIV/0!</v>
      </c>
      <c r="E17" t="e">
        <f>AVERAGE(E12:E16)</f>
        <v>#DIV/0!</v>
      </c>
      <c r="F17" t="e">
        <f>AVERAGE(F12:F16)</f>
        <v>#DIV/0!</v>
      </c>
      <c r="G17" t="e">
        <f>AVERAGE(G12:G16)</f>
        <v>#DIV/0!</v>
      </c>
    </row>
    <row r="18" spans="1:8" x14ac:dyDescent="0.25">
      <c r="A18" t="s">
        <v>58</v>
      </c>
      <c r="C18">
        <f>STDEV(C12:C16)</f>
        <v>0</v>
      </c>
      <c r="D18" t="e">
        <f>STDEV(D12:D16)</f>
        <v>#DIV/0!</v>
      </c>
      <c r="E18" t="e">
        <f>STDEV(E12:E16)</f>
        <v>#DIV/0!</v>
      </c>
      <c r="F18" t="e">
        <f>STDEV(F12:F16)</f>
        <v>#DIV/0!</v>
      </c>
      <c r="G18" t="e">
        <f>STDEV(G12:G16)</f>
        <v>#DIV/0!</v>
      </c>
    </row>
    <row r="20" spans="1:8" x14ac:dyDescent="0.25">
      <c r="A20" t="s">
        <v>103</v>
      </c>
    </row>
    <row r="21" spans="1:8" x14ac:dyDescent="0.25">
      <c r="A21" t="s">
        <v>51</v>
      </c>
      <c r="B21" t="s">
        <v>73</v>
      </c>
      <c r="C21" t="s">
        <v>111</v>
      </c>
      <c r="D21" t="s">
        <v>79</v>
      </c>
      <c r="E21" t="s">
        <v>114</v>
      </c>
      <c r="F21" t="s">
        <v>116</v>
      </c>
      <c r="G21" t="s">
        <v>115</v>
      </c>
      <c r="H21" t="s">
        <v>82</v>
      </c>
    </row>
    <row r="22" spans="1:8" x14ac:dyDescent="0.25">
      <c r="A22" t="s">
        <v>87</v>
      </c>
      <c r="B22">
        <v>40</v>
      </c>
      <c r="C22">
        <v>31.88</v>
      </c>
      <c r="D22">
        <f>B22*3.6/C22</f>
        <v>4.5169385194479297</v>
      </c>
      <c r="G22">
        <v>42</v>
      </c>
    </row>
    <row r="23" spans="1:8" x14ac:dyDescent="0.25">
      <c r="A23" t="s">
        <v>88</v>
      </c>
      <c r="B23">
        <v>40</v>
      </c>
      <c r="C23">
        <v>31.33</v>
      </c>
      <c r="D23">
        <f>B23*3.6/C23</f>
        <v>4.596233641876796</v>
      </c>
      <c r="G23">
        <v>42</v>
      </c>
    </row>
    <row r="24" spans="1:8" x14ac:dyDescent="0.25">
      <c r="A24" t="s">
        <v>89</v>
      </c>
      <c r="B24">
        <v>40</v>
      </c>
      <c r="C24">
        <v>31.88</v>
      </c>
      <c r="D24">
        <f>B24*3.6/C24</f>
        <v>4.5169385194479297</v>
      </c>
      <c r="G24">
        <v>42</v>
      </c>
    </row>
    <row r="25" spans="1:8" x14ac:dyDescent="0.25">
      <c r="A25" t="s">
        <v>90</v>
      </c>
      <c r="B25">
        <v>40</v>
      </c>
      <c r="C25">
        <v>31.73</v>
      </c>
      <c r="D25">
        <f>B25*3.6/C25</f>
        <v>4.5382918373778756</v>
      </c>
      <c r="G25">
        <v>42</v>
      </c>
    </row>
    <row r="26" spans="1:8" x14ac:dyDescent="0.25">
      <c r="A26" t="s">
        <v>91</v>
      </c>
      <c r="B26">
        <v>40</v>
      </c>
      <c r="C26">
        <v>32.1</v>
      </c>
      <c r="D26">
        <f>B26*3.6/C26</f>
        <v>4.4859813084112146</v>
      </c>
      <c r="G26">
        <v>42</v>
      </c>
    </row>
    <row r="27" spans="1:8" x14ac:dyDescent="0.25">
      <c r="A27" t="s">
        <v>57</v>
      </c>
      <c r="C27">
        <f>AVERAGE(C22:C26)</f>
        <v>31.783999999999999</v>
      </c>
      <c r="D27">
        <f>AVERAGE(D22:D26)</f>
        <v>4.5308767653123496</v>
      </c>
      <c r="E27" t="e">
        <f>AVERAGE(E22:E26)</f>
        <v>#DIV/0!</v>
      </c>
      <c r="F27" t="e">
        <f>AVERAGE(F22:F26)</f>
        <v>#DIV/0!</v>
      </c>
      <c r="G27">
        <f>AVERAGE(G22:G26)</f>
        <v>42</v>
      </c>
    </row>
    <row r="28" spans="1:8" x14ac:dyDescent="0.25">
      <c r="A28" t="s">
        <v>58</v>
      </c>
      <c r="C28">
        <f>STDEV(C22:C26)</f>
        <v>0.28605943438383657</v>
      </c>
      <c r="D28">
        <f>STDEV(D22:D26)</f>
        <v>4.1020287827832624E-2</v>
      </c>
      <c r="E28" t="e">
        <f>STDEV(E22:E26)</f>
        <v>#DIV/0!</v>
      </c>
      <c r="F28" t="e">
        <f>STDEV(F22:F26)</f>
        <v>#DIV/0!</v>
      </c>
      <c r="G28">
        <f>STDEV(G22:G26)</f>
        <v>0</v>
      </c>
    </row>
    <row r="30" spans="1:8" x14ac:dyDescent="0.25">
      <c r="A30" t="s">
        <v>104</v>
      </c>
    </row>
    <row r="31" spans="1:8" x14ac:dyDescent="0.25">
      <c r="A31" t="s">
        <v>105</v>
      </c>
      <c r="B31" t="s">
        <v>110</v>
      </c>
      <c r="C31" t="s">
        <v>112</v>
      </c>
      <c r="D31" t="s">
        <v>113</v>
      </c>
      <c r="E31" t="s">
        <v>115</v>
      </c>
    </row>
    <row r="32" spans="1:8" x14ac:dyDescent="0.25">
      <c r="A32" t="s">
        <v>106</v>
      </c>
      <c r="B32">
        <f>AVERAGE(C12:C16)</f>
        <v>0</v>
      </c>
      <c r="C32" t="e">
        <f>AVERAGE(D12:D16)</f>
        <v>#DIV/0!</v>
      </c>
      <c r="D32" t="e">
        <f>AVERAGE(E12:E16)</f>
        <v>#DIV/0!</v>
      </c>
      <c r="E32" t="e">
        <f>AVERAGE(G12:G16)</f>
        <v>#DIV/0!</v>
      </c>
    </row>
    <row r="33" spans="1:5" x14ac:dyDescent="0.25">
      <c r="A33" t="s">
        <v>107</v>
      </c>
      <c r="B33">
        <f>AVERAGE(C22:C26)</f>
        <v>31.783999999999999</v>
      </c>
      <c r="C33">
        <f>AVERAGE(D22:D26)</f>
        <v>4.5308767653123496</v>
      </c>
      <c r="D33" t="e">
        <f>AVERAGE(E22:E26)</f>
        <v>#DIV/0!</v>
      </c>
      <c r="E33">
        <f>AVERAGE(G22:G26)</f>
        <v>42</v>
      </c>
    </row>
    <row r="35" spans="1:5" x14ac:dyDescent="0.25">
      <c r="A35" t="s">
        <v>65</v>
      </c>
    </row>
    <row r="36" spans="1:5" x14ac:dyDescent="0.25">
      <c r="A36" t="s">
        <v>108</v>
      </c>
    </row>
    <row r="37" spans="1:5" x14ac:dyDescent="0.25">
      <c r="A37" t="s">
        <v>109</v>
      </c>
    </row>
    <row r="39" spans="1:5" x14ac:dyDescent="0.25">
      <c r="A39" t="s">
        <v>68</v>
      </c>
      <c r="B39" t="s">
        <v>74</v>
      </c>
      <c r="C39" t="s">
        <v>76</v>
      </c>
    </row>
    <row r="41" spans="1:5" x14ac:dyDescent="0.25">
      <c r="A41" t="s">
        <v>69</v>
      </c>
    </row>
    <row r="44" spans="1:5" x14ac:dyDescent="0.25">
      <c r="A44" t="s">
        <v>70</v>
      </c>
      <c r="B44" t="s">
        <v>72</v>
      </c>
      <c r="C44" t="s">
        <v>77</v>
      </c>
      <c r="D4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topLeftCell="A19" workbookViewId="0"/>
  </sheetViews>
  <sheetFormatPr defaultRowHeight="15" x14ac:dyDescent="0.25"/>
  <cols>
    <col min="1" max="1" width="50.7109375" customWidth="1"/>
    <col min="2" max="4" width="22.7109375" customWidth="1"/>
    <col min="5" max="5" width="20.7109375" customWidth="1"/>
  </cols>
  <sheetData>
    <row r="1" spans="1:2" x14ac:dyDescent="0.25">
      <c r="A1" t="s">
        <v>139</v>
      </c>
    </row>
    <row r="2" spans="1:2" x14ac:dyDescent="0.25">
      <c r="A2" t="s">
        <v>118</v>
      </c>
    </row>
    <row r="3" spans="1:2" x14ac:dyDescent="0.25">
      <c r="A3" t="s">
        <v>119</v>
      </c>
    </row>
    <row r="5" spans="1:2" x14ac:dyDescent="0.25">
      <c r="A5" t="s">
        <v>42</v>
      </c>
      <c r="B5" t="s">
        <v>72</v>
      </c>
    </row>
    <row r="6" spans="1:2" x14ac:dyDescent="0.25">
      <c r="A6" t="s">
        <v>43</v>
      </c>
      <c r="B6" t="s">
        <v>72</v>
      </c>
    </row>
    <row r="7" spans="1:2" x14ac:dyDescent="0.25">
      <c r="A7" t="s">
        <v>45</v>
      </c>
      <c r="B7" t="s">
        <v>72</v>
      </c>
    </row>
    <row r="9" spans="1:2" x14ac:dyDescent="0.25">
      <c r="A9" t="s">
        <v>120</v>
      </c>
    </row>
    <row r="10" spans="1:2" x14ac:dyDescent="0.25">
      <c r="B10" t="s">
        <v>134</v>
      </c>
    </row>
    <row r="11" spans="1:2" x14ac:dyDescent="0.25">
      <c r="A11" t="s">
        <v>121</v>
      </c>
    </row>
    <row r="12" spans="1:2" x14ac:dyDescent="0.25">
      <c r="A12" t="s">
        <v>122</v>
      </c>
    </row>
    <row r="13" spans="1:2" x14ac:dyDescent="0.25">
      <c r="A13" t="s">
        <v>123</v>
      </c>
      <c r="B13">
        <f ca="1">B13-B12</f>
        <v>0</v>
      </c>
    </row>
    <row r="14" spans="1:2" x14ac:dyDescent="0.25">
      <c r="A14" t="s">
        <v>124</v>
      </c>
      <c r="B14">
        <f ca="1">114.52*B14/100</f>
        <v>0</v>
      </c>
    </row>
    <row r="15" spans="1:2" x14ac:dyDescent="0.25">
      <c r="A15" t="s">
        <v>125</v>
      </c>
    </row>
    <row r="16" spans="1:2" x14ac:dyDescent="0.25">
      <c r="A16" t="s">
        <v>126</v>
      </c>
    </row>
    <row r="18" spans="1:5" x14ac:dyDescent="0.25">
      <c r="A18" t="s">
        <v>127</v>
      </c>
    </row>
    <row r="19" spans="1:5" x14ac:dyDescent="0.25">
      <c r="B19" t="s">
        <v>134</v>
      </c>
    </row>
    <row r="20" spans="1:5" x14ac:dyDescent="0.25">
      <c r="A20" t="s">
        <v>121</v>
      </c>
    </row>
    <row r="21" spans="1:5" x14ac:dyDescent="0.25">
      <c r="A21" t="s">
        <v>122</v>
      </c>
    </row>
    <row r="22" spans="1:5" x14ac:dyDescent="0.25">
      <c r="A22" t="s">
        <v>123</v>
      </c>
      <c r="B22">
        <f>B25-B24</f>
        <v>0</v>
      </c>
    </row>
    <row r="23" spans="1:5" x14ac:dyDescent="0.25">
      <c r="A23" t="s">
        <v>124</v>
      </c>
      <c r="B23">
        <f>114.52*B26/100</f>
        <v>0</v>
      </c>
    </row>
    <row r="24" spans="1:5" x14ac:dyDescent="0.25">
      <c r="A24" t="s">
        <v>125</v>
      </c>
    </row>
    <row r="25" spans="1:5" x14ac:dyDescent="0.25">
      <c r="A25" t="s">
        <v>126</v>
      </c>
    </row>
    <row r="27" spans="1:5" x14ac:dyDescent="0.25">
      <c r="A27" t="s">
        <v>128</v>
      </c>
    </row>
    <row r="28" spans="1:5" x14ac:dyDescent="0.25">
      <c r="A28" t="s">
        <v>129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25">
      <c r="A29" t="s">
        <v>123</v>
      </c>
      <c r="B29">
        <f ca="1">B14</f>
        <v>0</v>
      </c>
      <c r="C29">
        <f>B26</f>
        <v>0</v>
      </c>
      <c r="D29">
        <f ca="1">B26-B14</f>
        <v>0</v>
      </c>
      <c r="E29">
        <f ca="1">(B26-B14)/B26*100</f>
        <v>0</v>
      </c>
    </row>
    <row r="30" spans="1:5" x14ac:dyDescent="0.25">
      <c r="A30" t="s">
        <v>130</v>
      </c>
      <c r="B30">
        <f>B15</f>
        <v>0</v>
      </c>
      <c r="C30">
        <f>B27</f>
        <v>0</v>
      </c>
      <c r="D30">
        <f>B27-B15</f>
        <v>0</v>
      </c>
      <c r="E30" t="e">
        <f>(B27-B15)/B27*100</f>
        <v>#DIV/0!</v>
      </c>
    </row>
    <row r="32" spans="1:5" x14ac:dyDescent="0.25">
      <c r="A32" t="s">
        <v>65</v>
      </c>
    </row>
    <row r="33" spans="1:4" x14ac:dyDescent="0.25">
      <c r="A33" t="s">
        <v>131</v>
      </c>
    </row>
    <row r="34" spans="1:4" x14ac:dyDescent="0.25">
      <c r="A34" t="s">
        <v>132</v>
      </c>
    </row>
    <row r="35" spans="1:4" x14ac:dyDescent="0.25">
      <c r="A35" t="s">
        <v>133</v>
      </c>
    </row>
    <row r="37" spans="1:4" x14ac:dyDescent="0.25">
      <c r="A37" t="s">
        <v>68</v>
      </c>
      <c r="B37" t="s">
        <v>74</v>
      </c>
      <c r="C37" t="s">
        <v>76</v>
      </c>
    </row>
    <row r="39" spans="1:4" x14ac:dyDescent="0.25">
      <c r="A39" t="s">
        <v>69</v>
      </c>
    </row>
    <row r="42" spans="1:4" x14ac:dyDescent="0.25">
      <c r="A42" t="s">
        <v>70</v>
      </c>
      <c r="B42" t="s">
        <v>72</v>
      </c>
      <c r="C42" t="s">
        <v>77</v>
      </c>
      <c r="D4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  <col min="5" max="5" width="23.7109375" customWidth="1"/>
    <col min="6" max="6" width="24.7109375" customWidth="1"/>
    <col min="7" max="7" width="15.7109375" customWidth="1"/>
    <col min="8" max="8" width="8.7109375" customWidth="1"/>
  </cols>
  <sheetData>
    <row r="1" spans="1:8" x14ac:dyDescent="0.25">
      <c r="A1" t="s">
        <v>162</v>
      </c>
    </row>
    <row r="2" spans="1:8" x14ac:dyDescent="0.25">
      <c r="A2" t="s">
        <v>140</v>
      </c>
    </row>
    <row r="3" spans="1:8" x14ac:dyDescent="0.25">
      <c r="A3" t="s">
        <v>141</v>
      </c>
    </row>
    <row r="5" spans="1:8" x14ac:dyDescent="0.25">
      <c r="A5" t="s">
        <v>42</v>
      </c>
      <c r="B5" t="s">
        <v>72</v>
      </c>
    </row>
    <row r="6" spans="1:8" x14ac:dyDescent="0.25">
      <c r="A6" t="s">
        <v>43</v>
      </c>
      <c r="B6" t="s">
        <v>72</v>
      </c>
    </row>
    <row r="7" spans="1:8" x14ac:dyDescent="0.25">
      <c r="A7" t="s">
        <v>45</v>
      </c>
      <c r="B7" t="s">
        <v>72</v>
      </c>
    </row>
    <row r="9" spans="1:8" x14ac:dyDescent="0.25">
      <c r="A9" t="s">
        <v>142</v>
      </c>
    </row>
    <row r="10" spans="1:8" x14ac:dyDescent="0.25">
      <c r="A10" t="s">
        <v>51</v>
      </c>
      <c r="B10" t="s">
        <v>151</v>
      </c>
      <c r="C10" t="s">
        <v>153</v>
      </c>
      <c r="D10" t="s">
        <v>155</v>
      </c>
      <c r="E10" t="s">
        <v>159</v>
      </c>
      <c r="F10" t="s">
        <v>160</v>
      </c>
      <c r="G10" t="s">
        <v>161</v>
      </c>
      <c r="H10" t="s">
        <v>82</v>
      </c>
    </row>
    <row r="11" spans="1:8" x14ac:dyDescent="0.25">
      <c r="A11" t="s">
        <v>87</v>
      </c>
    </row>
    <row r="12" spans="1:8" x14ac:dyDescent="0.25">
      <c r="A12" t="s">
        <v>88</v>
      </c>
    </row>
    <row r="13" spans="1:8" x14ac:dyDescent="0.25">
      <c r="A13" t="s">
        <v>89</v>
      </c>
    </row>
    <row r="14" spans="1:8" x14ac:dyDescent="0.25">
      <c r="A14" t="s">
        <v>57</v>
      </c>
      <c r="B14">
        <f ca="1">AVERAGE(B13:B15)</f>
        <v>0</v>
      </c>
      <c r="C14">
        <f ca="1">AVERAGE(C13:C15)</f>
        <v>0</v>
      </c>
    </row>
    <row r="16" spans="1:8" x14ac:dyDescent="0.25">
      <c r="A16" t="s">
        <v>143</v>
      </c>
    </row>
    <row r="17" spans="1:8" x14ac:dyDescent="0.25">
      <c r="A17" t="s">
        <v>51</v>
      </c>
      <c r="B17" t="s">
        <v>151</v>
      </c>
      <c r="C17" t="s">
        <v>153</v>
      </c>
      <c r="D17" t="s">
        <v>155</v>
      </c>
      <c r="E17" t="s">
        <v>159</v>
      </c>
      <c r="F17" t="s">
        <v>160</v>
      </c>
      <c r="G17" t="s">
        <v>161</v>
      </c>
      <c r="H17" t="s">
        <v>82</v>
      </c>
    </row>
    <row r="18" spans="1:8" x14ac:dyDescent="0.25">
      <c r="A18" t="s">
        <v>87</v>
      </c>
    </row>
    <row r="19" spans="1:8" x14ac:dyDescent="0.25">
      <c r="A19" t="s">
        <v>88</v>
      </c>
    </row>
    <row r="20" spans="1:8" x14ac:dyDescent="0.25">
      <c r="A20" t="s">
        <v>89</v>
      </c>
    </row>
    <row r="21" spans="1:8" x14ac:dyDescent="0.25">
      <c r="A21" t="s">
        <v>57</v>
      </c>
      <c r="B21" t="e">
        <f>AVERAGE(B22:B24)</f>
        <v>#DIV/0!</v>
      </c>
      <c r="C21" t="e">
        <f>AVERAGE(C22:C24)</f>
        <v>#DIV/0!</v>
      </c>
    </row>
    <row r="23" spans="1:8" x14ac:dyDescent="0.25">
      <c r="A23" t="s">
        <v>144</v>
      </c>
    </row>
    <row r="24" spans="1:8" x14ac:dyDescent="0.25">
      <c r="A24" t="s">
        <v>145</v>
      </c>
      <c r="B24" t="s">
        <v>152</v>
      </c>
      <c r="C24" t="s">
        <v>154</v>
      </c>
      <c r="D24" t="s">
        <v>156</v>
      </c>
    </row>
    <row r="25" spans="1:8" x14ac:dyDescent="0.25">
      <c r="A25" t="s">
        <v>146</v>
      </c>
      <c r="B25" t="str">
        <f>B17</f>
        <v>Inner Radius (m)</v>
      </c>
      <c r="C25" t="str">
        <f>C17</f>
        <v>Outer Radius (m)</v>
      </c>
      <c r="D25" t="s">
        <v>157</v>
      </c>
    </row>
    <row r="26" spans="1:8" x14ac:dyDescent="0.25">
      <c r="A26" t="s">
        <v>147</v>
      </c>
      <c r="B26">
        <f ca="1">B26</f>
        <v>0</v>
      </c>
      <c r="C26">
        <f ca="1">C26</f>
        <v>0</v>
      </c>
      <c r="D26" t="s">
        <v>158</v>
      </c>
    </row>
    <row r="28" spans="1:8" x14ac:dyDescent="0.25">
      <c r="A28" t="s">
        <v>65</v>
      </c>
    </row>
    <row r="29" spans="1:8" x14ac:dyDescent="0.25">
      <c r="A29" t="s">
        <v>148</v>
      </c>
    </row>
    <row r="30" spans="1:8" x14ac:dyDescent="0.25">
      <c r="A30" t="s">
        <v>149</v>
      </c>
    </row>
    <row r="31" spans="1:8" x14ac:dyDescent="0.25">
      <c r="A31" t="s">
        <v>150</v>
      </c>
    </row>
    <row r="33" spans="1:4" x14ac:dyDescent="0.25">
      <c r="A33" t="s">
        <v>68</v>
      </c>
      <c r="B33" t="s">
        <v>74</v>
      </c>
      <c r="C33" t="s">
        <v>76</v>
      </c>
    </row>
    <row r="35" spans="1:4" x14ac:dyDescent="0.25">
      <c r="A35" t="s">
        <v>69</v>
      </c>
    </row>
    <row r="38" spans="1:4" x14ac:dyDescent="0.25">
      <c r="A38" t="s">
        <v>70</v>
      </c>
      <c r="B38" t="s">
        <v>72</v>
      </c>
      <c r="C38" t="s">
        <v>77</v>
      </c>
      <c r="D38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workbookViewId="0"/>
  </sheetViews>
  <sheetFormatPr defaultRowHeight="15" x14ac:dyDescent="0.25"/>
  <cols>
    <col min="1" max="1" width="50.7109375" customWidth="1"/>
    <col min="2" max="2" width="22.7109375" customWidth="1"/>
    <col min="3" max="3" width="30.7109375" customWidth="1"/>
    <col min="4" max="4" width="22.7109375" customWidth="1"/>
  </cols>
  <sheetData>
    <row r="1" spans="1:4" x14ac:dyDescent="0.25">
      <c r="A1" t="s">
        <v>193</v>
      </c>
    </row>
    <row r="2" spans="1:4" x14ac:dyDescent="0.25">
      <c r="A2" t="s">
        <v>163</v>
      </c>
    </row>
    <row r="3" spans="1:4" x14ac:dyDescent="0.25">
      <c r="A3" t="s">
        <v>164</v>
      </c>
    </row>
    <row r="5" spans="1:4" x14ac:dyDescent="0.25">
      <c r="A5" t="s">
        <v>42</v>
      </c>
      <c r="B5" t="s">
        <v>72</v>
      </c>
    </row>
    <row r="6" spans="1:4" x14ac:dyDescent="0.25">
      <c r="A6" t="s">
        <v>165</v>
      </c>
      <c r="B6" t="s">
        <v>72</v>
      </c>
    </row>
    <row r="8" spans="1:4" x14ac:dyDescent="0.25">
      <c r="A8" t="s">
        <v>166</v>
      </c>
    </row>
    <row r="9" spans="1:4" x14ac:dyDescent="0.25">
      <c r="A9" t="s">
        <v>167</v>
      </c>
      <c r="B9" t="s">
        <v>181</v>
      </c>
      <c r="C9" t="s">
        <v>185</v>
      </c>
      <c r="D9" t="s">
        <v>191</v>
      </c>
    </row>
    <row r="10" spans="1:4" x14ac:dyDescent="0.25">
      <c r="A10" t="s">
        <v>168</v>
      </c>
      <c r="B10" t="s">
        <v>181</v>
      </c>
      <c r="C10" t="s">
        <v>186</v>
      </c>
      <c r="D10" t="s">
        <v>192</v>
      </c>
    </row>
    <row r="11" spans="1:4" x14ac:dyDescent="0.25">
      <c r="A11" t="s">
        <v>169</v>
      </c>
      <c r="B11" t="s">
        <v>182</v>
      </c>
      <c r="C11" t="s">
        <v>187</v>
      </c>
    </row>
    <row r="12" spans="1:4" x14ac:dyDescent="0.25">
      <c r="A12" t="s">
        <v>170</v>
      </c>
    </row>
    <row r="14" spans="1:4" x14ac:dyDescent="0.25">
      <c r="A14" t="s">
        <v>171</v>
      </c>
    </row>
    <row r="15" spans="1:4" x14ac:dyDescent="0.25">
      <c r="A15" t="s">
        <v>167</v>
      </c>
      <c r="B15" t="s">
        <v>181</v>
      </c>
      <c r="C15" t="s">
        <v>185</v>
      </c>
      <c r="D15" t="s">
        <v>191</v>
      </c>
    </row>
    <row r="16" spans="1:4" x14ac:dyDescent="0.25">
      <c r="A16" t="s">
        <v>168</v>
      </c>
      <c r="B16" t="s">
        <v>181</v>
      </c>
      <c r="C16" t="s">
        <v>186</v>
      </c>
      <c r="D16" t="s">
        <v>192</v>
      </c>
    </row>
    <row r="17" spans="1:4" x14ac:dyDescent="0.25">
      <c r="A17" t="s">
        <v>169</v>
      </c>
      <c r="B17" t="s">
        <v>182</v>
      </c>
      <c r="C17" t="s">
        <v>187</v>
      </c>
    </row>
    <row r="18" spans="1:4" x14ac:dyDescent="0.25">
      <c r="A18" t="s">
        <v>170</v>
      </c>
    </row>
    <row r="20" spans="1:4" x14ac:dyDescent="0.25">
      <c r="A20" t="s">
        <v>172</v>
      </c>
    </row>
    <row r="21" spans="1:4" x14ac:dyDescent="0.25">
      <c r="A21" t="s">
        <v>167</v>
      </c>
      <c r="B21" t="s">
        <v>181</v>
      </c>
      <c r="C21" t="s">
        <v>185</v>
      </c>
      <c r="D21" t="s">
        <v>191</v>
      </c>
    </row>
    <row r="22" spans="1:4" x14ac:dyDescent="0.25">
      <c r="A22" t="s">
        <v>168</v>
      </c>
      <c r="B22" t="s">
        <v>181</v>
      </c>
      <c r="C22" t="s">
        <v>186</v>
      </c>
      <c r="D22" t="s">
        <v>192</v>
      </c>
    </row>
    <row r="23" spans="1:4" x14ac:dyDescent="0.25">
      <c r="A23" t="s">
        <v>169</v>
      </c>
      <c r="B23" t="s">
        <v>182</v>
      </c>
      <c r="C23" t="s">
        <v>187</v>
      </c>
    </row>
    <row r="24" spans="1:4" x14ac:dyDescent="0.25">
      <c r="A24" t="s">
        <v>170</v>
      </c>
    </row>
    <row r="26" spans="1:4" x14ac:dyDescent="0.25">
      <c r="A26" t="s">
        <v>173</v>
      </c>
    </row>
    <row r="27" spans="1:4" x14ac:dyDescent="0.25">
      <c r="A27" t="s">
        <v>167</v>
      </c>
      <c r="B27" t="s">
        <v>181</v>
      </c>
      <c r="C27" t="s">
        <v>185</v>
      </c>
      <c r="D27" t="s">
        <v>191</v>
      </c>
    </row>
    <row r="28" spans="1:4" x14ac:dyDescent="0.25">
      <c r="A28" t="s">
        <v>168</v>
      </c>
      <c r="B28" t="s">
        <v>181</v>
      </c>
      <c r="C28" t="s">
        <v>186</v>
      </c>
      <c r="D28" t="s">
        <v>192</v>
      </c>
    </row>
    <row r="29" spans="1:4" x14ac:dyDescent="0.25">
      <c r="A29" t="s">
        <v>169</v>
      </c>
      <c r="B29" t="s">
        <v>182</v>
      </c>
      <c r="C29" t="s">
        <v>187</v>
      </c>
    </row>
    <row r="30" spans="1:4" x14ac:dyDescent="0.25">
      <c r="A30" t="s">
        <v>170</v>
      </c>
    </row>
    <row r="32" spans="1:4" x14ac:dyDescent="0.25">
      <c r="A32" t="s">
        <v>174</v>
      </c>
    </row>
    <row r="33" spans="1:4" x14ac:dyDescent="0.25">
      <c r="A33" t="s">
        <v>175</v>
      </c>
      <c r="B33" t="s">
        <v>183</v>
      </c>
      <c r="C33" t="s">
        <v>188</v>
      </c>
    </row>
    <row r="34" spans="1:4" x14ac:dyDescent="0.25">
      <c r="A34" t="s">
        <v>176</v>
      </c>
      <c r="B34" t="s">
        <v>183</v>
      </c>
      <c r="C34" t="s">
        <v>188</v>
      </c>
    </row>
    <row r="35" spans="1:4" x14ac:dyDescent="0.25">
      <c r="A35" t="s">
        <v>177</v>
      </c>
      <c r="B35" t="s">
        <v>184</v>
      </c>
      <c r="C35" t="s">
        <v>189</v>
      </c>
    </row>
    <row r="37" spans="1:4" x14ac:dyDescent="0.25">
      <c r="A37" t="s">
        <v>65</v>
      </c>
    </row>
    <row r="38" spans="1:4" x14ac:dyDescent="0.25">
      <c r="A38" t="s">
        <v>178</v>
      </c>
    </row>
    <row r="39" spans="1:4" x14ac:dyDescent="0.25">
      <c r="A39" t="s">
        <v>179</v>
      </c>
    </row>
    <row r="41" spans="1:4" x14ac:dyDescent="0.25">
      <c r="A41" t="s">
        <v>68</v>
      </c>
      <c r="B41" t="s">
        <v>74</v>
      </c>
      <c r="C41" t="s">
        <v>190</v>
      </c>
    </row>
    <row r="43" spans="1:4" x14ac:dyDescent="0.25">
      <c r="A43" t="s">
        <v>180</v>
      </c>
    </row>
    <row r="47" spans="1:4" x14ac:dyDescent="0.25">
      <c r="A47" t="s">
        <v>70</v>
      </c>
      <c r="B47" t="s">
        <v>72</v>
      </c>
      <c r="C47" t="s">
        <v>77</v>
      </c>
      <c r="D47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topLeftCell="A10" workbookViewId="0"/>
  </sheetViews>
  <sheetFormatPr defaultRowHeight="15" x14ac:dyDescent="0.25"/>
  <cols>
    <col min="1" max="1" width="50.7109375" customWidth="1"/>
    <col min="2" max="3" width="22.7109375" customWidth="1"/>
    <col min="4" max="4" width="28.7109375" customWidth="1"/>
  </cols>
  <sheetData>
    <row r="1" spans="1:4" x14ac:dyDescent="0.25">
      <c r="A1" t="s">
        <v>230</v>
      </c>
    </row>
    <row r="2" spans="1:4" x14ac:dyDescent="0.25">
      <c r="A2" t="s">
        <v>194</v>
      </c>
    </row>
    <row r="3" spans="1:4" x14ac:dyDescent="0.25">
      <c r="A3" t="s">
        <v>195</v>
      </c>
    </row>
    <row r="5" spans="1:4" x14ac:dyDescent="0.25">
      <c r="A5" t="s">
        <v>42</v>
      </c>
      <c r="B5" t="s">
        <v>72</v>
      </c>
    </row>
    <row r="6" spans="1:4" x14ac:dyDescent="0.25">
      <c r="A6" t="s">
        <v>43</v>
      </c>
      <c r="B6" t="s">
        <v>72</v>
      </c>
    </row>
    <row r="7" spans="1:4" x14ac:dyDescent="0.25">
      <c r="A7" t="s">
        <v>45</v>
      </c>
      <c r="B7" t="s">
        <v>72</v>
      </c>
    </row>
    <row r="9" spans="1:4" x14ac:dyDescent="0.25">
      <c r="A9" t="s">
        <v>196</v>
      </c>
    </row>
    <row r="10" spans="1:4" x14ac:dyDescent="0.25">
      <c r="A10" t="s">
        <v>197</v>
      </c>
      <c r="B10" t="s">
        <v>80</v>
      </c>
      <c r="C10" t="s">
        <v>81</v>
      </c>
      <c r="D10" t="s">
        <v>82</v>
      </c>
    </row>
    <row r="11" spans="1:4" x14ac:dyDescent="0.25">
      <c r="A11" t="s">
        <v>198</v>
      </c>
      <c r="D11" t="s">
        <v>220</v>
      </c>
    </row>
    <row r="12" spans="1:4" x14ac:dyDescent="0.25">
      <c r="A12" t="s">
        <v>199</v>
      </c>
      <c r="D12" t="s">
        <v>221</v>
      </c>
    </row>
    <row r="13" spans="1:4" x14ac:dyDescent="0.25">
      <c r="A13" t="s">
        <v>200</v>
      </c>
      <c r="D13" t="s">
        <v>221</v>
      </c>
    </row>
    <row r="14" spans="1:4" x14ac:dyDescent="0.25">
      <c r="A14" t="s">
        <v>201</v>
      </c>
      <c r="D14" t="s">
        <v>221</v>
      </c>
    </row>
    <row r="15" spans="1:4" x14ac:dyDescent="0.25">
      <c r="A15" t="s">
        <v>202</v>
      </c>
      <c r="D15" t="s">
        <v>221</v>
      </c>
    </row>
    <row r="16" spans="1:4" x14ac:dyDescent="0.25">
      <c r="A16" t="s">
        <v>203</v>
      </c>
      <c r="D16" t="s">
        <v>222</v>
      </c>
    </row>
    <row r="17" spans="1:4" x14ac:dyDescent="0.25">
      <c r="A17" t="s">
        <v>204</v>
      </c>
      <c r="B17">
        <f ca="1">MAX(B13:B18)</f>
        <v>0</v>
      </c>
      <c r="C17">
        <f ca="1">MAX(C13:C18)</f>
        <v>0</v>
      </c>
      <c r="D17" t="s">
        <v>223</v>
      </c>
    </row>
    <row r="19" spans="1:4" x14ac:dyDescent="0.25">
      <c r="A19" t="s">
        <v>205</v>
      </c>
    </row>
    <row r="20" spans="1:4" x14ac:dyDescent="0.25">
      <c r="A20" t="s">
        <v>197</v>
      </c>
      <c r="B20" t="s">
        <v>80</v>
      </c>
      <c r="C20" t="s">
        <v>81</v>
      </c>
      <c r="D20" t="s">
        <v>82</v>
      </c>
    </row>
    <row r="21" spans="1:4" x14ac:dyDescent="0.25">
      <c r="A21" t="s">
        <v>198</v>
      </c>
      <c r="D21" t="s">
        <v>220</v>
      </c>
    </row>
    <row r="22" spans="1:4" x14ac:dyDescent="0.25">
      <c r="A22" t="s">
        <v>199</v>
      </c>
      <c r="D22" t="s">
        <v>224</v>
      </c>
    </row>
    <row r="23" spans="1:4" x14ac:dyDescent="0.25">
      <c r="A23" t="s">
        <v>200</v>
      </c>
      <c r="D23" t="s">
        <v>224</v>
      </c>
    </row>
    <row r="24" spans="1:4" x14ac:dyDescent="0.25">
      <c r="A24" t="s">
        <v>201</v>
      </c>
      <c r="D24" t="s">
        <v>224</v>
      </c>
    </row>
    <row r="25" spans="1:4" x14ac:dyDescent="0.25">
      <c r="A25" t="s">
        <v>202</v>
      </c>
      <c r="D25" t="s">
        <v>224</v>
      </c>
    </row>
    <row r="26" spans="1:4" x14ac:dyDescent="0.25">
      <c r="A26" t="s">
        <v>203</v>
      </c>
      <c r="D26" t="s">
        <v>225</v>
      </c>
    </row>
    <row r="27" spans="1:4" x14ac:dyDescent="0.25">
      <c r="A27" t="s">
        <v>204</v>
      </c>
      <c r="B27">
        <f>MAX(B28:B33)</f>
        <v>0</v>
      </c>
      <c r="C27">
        <f>MAX(C28:C33)</f>
        <v>0</v>
      </c>
      <c r="D27" t="s">
        <v>226</v>
      </c>
    </row>
    <row r="29" spans="1:4" x14ac:dyDescent="0.25">
      <c r="A29" t="s">
        <v>206</v>
      </c>
    </row>
    <row r="30" spans="1:4" x14ac:dyDescent="0.25">
      <c r="A30" t="s">
        <v>129</v>
      </c>
      <c r="B30" t="s">
        <v>216</v>
      </c>
      <c r="C30" t="s">
        <v>218</v>
      </c>
      <c r="D30" t="s">
        <v>227</v>
      </c>
    </row>
    <row r="31" spans="1:4" x14ac:dyDescent="0.25">
      <c r="A31" t="s">
        <v>115</v>
      </c>
      <c r="B31" t="str">
        <f>B20</f>
        <v>Motor Temp (°C)</v>
      </c>
      <c r="C31">
        <f>B35</f>
        <v>0</v>
      </c>
      <c r="D31" t="e">
        <f>B35-B20</f>
        <v>#VALUE!</v>
      </c>
    </row>
    <row r="32" spans="1:4" x14ac:dyDescent="0.25">
      <c r="A32" t="s">
        <v>207</v>
      </c>
      <c r="B32" t="str">
        <f>C20</f>
        <v>Controller Temp (°C)</v>
      </c>
      <c r="C32">
        <f>C35</f>
        <v>0</v>
      </c>
      <c r="D32" t="e">
        <f>C35-C20</f>
        <v>#VALUE!</v>
      </c>
    </row>
    <row r="33" spans="1:4" x14ac:dyDescent="0.25">
      <c r="A33" t="s">
        <v>208</v>
      </c>
      <c r="B33" t="s">
        <v>217</v>
      </c>
      <c r="C33" t="s">
        <v>217</v>
      </c>
      <c r="D33" t="s">
        <v>228</v>
      </c>
    </row>
    <row r="35" spans="1:4" x14ac:dyDescent="0.25">
      <c r="A35" t="s">
        <v>209</v>
      </c>
    </row>
    <row r="36" spans="1:4" x14ac:dyDescent="0.25">
      <c r="A36" t="s">
        <v>210</v>
      </c>
      <c r="B36" t="s">
        <v>183</v>
      </c>
      <c r="C36" t="s">
        <v>184</v>
      </c>
    </row>
    <row r="37" spans="1:4" x14ac:dyDescent="0.25">
      <c r="A37" t="s">
        <v>211</v>
      </c>
      <c r="B37" t="s">
        <v>183</v>
      </c>
      <c r="C37" t="s">
        <v>184</v>
      </c>
    </row>
    <row r="39" spans="1:4" x14ac:dyDescent="0.25">
      <c r="A39" t="s">
        <v>65</v>
      </c>
    </row>
    <row r="40" spans="1:4" x14ac:dyDescent="0.25">
      <c r="A40" t="s">
        <v>212</v>
      </c>
    </row>
    <row r="41" spans="1:4" x14ac:dyDescent="0.25">
      <c r="A41" t="s">
        <v>213</v>
      </c>
    </row>
    <row r="42" spans="1:4" x14ac:dyDescent="0.25">
      <c r="A42" t="s">
        <v>214</v>
      </c>
    </row>
    <row r="44" spans="1:4" x14ac:dyDescent="0.25">
      <c r="A44" t="s">
        <v>215</v>
      </c>
      <c r="B44" t="s">
        <v>74</v>
      </c>
      <c r="C44" t="s">
        <v>219</v>
      </c>
      <c r="D44" t="s">
        <v>229</v>
      </c>
    </row>
    <row r="46" spans="1:4" x14ac:dyDescent="0.25">
      <c r="A46" t="s">
        <v>69</v>
      </c>
    </row>
    <row r="49" spans="1:4" x14ac:dyDescent="0.25">
      <c r="A49" t="s">
        <v>70</v>
      </c>
      <c r="B49" t="s">
        <v>72</v>
      </c>
      <c r="C49" t="s">
        <v>77</v>
      </c>
      <c r="D49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57"/>
  <sheetViews>
    <sheetView tabSelected="1" topLeftCell="A13" workbookViewId="0"/>
  </sheetViews>
  <sheetFormatPr defaultRowHeight="15" x14ac:dyDescent="0.25"/>
  <cols>
    <col min="1" max="2" width="50.7109375" customWidth="1"/>
    <col min="3" max="3" width="13.7109375" customWidth="1"/>
    <col min="4" max="4" width="22.7109375" customWidth="1"/>
    <col min="5" max="5" width="37.7109375" customWidth="1"/>
  </cols>
  <sheetData>
    <row r="1" spans="1:2" x14ac:dyDescent="0.25">
      <c r="A1" t="s">
        <v>263</v>
      </c>
    </row>
    <row r="2" spans="1:2" x14ac:dyDescent="0.25">
      <c r="A2" t="s">
        <v>231</v>
      </c>
    </row>
    <row r="3" spans="1:2" x14ac:dyDescent="0.25">
      <c r="A3" t="s">
        <v>232</v>
      </c>
    </row>
    <row r="5" spans="1:2" x14ac:dyDescent="0.25">
      <c r="A5" t="s">
        <v>42</v>
      </c>
      <c r="B5" t="s">
        <v>72</v>
      </c>
    </row>
    <row r="6" spans="1:2" x14ac:dyDescent="0.25">
      <c r="A6" t="s">
        <v>43</v>
      </c>
      <c r="B6" t="s">
        <v>72</v>
      </c>
    </row>
    <row r="7" spans="1:2" x14ac:dyDescent="0.25">
      <c r="A7" t="s">
        <v>45</v>
      </c>
      <c r="B7" t="s">
        <v>72</v>
      </c>
    </row>
    <row r="8" spans="1:2" x14ac:dyDescent="0.25">
      <c r="A8" t="s">
        <v>49</v>
      </c>
      <c r="B8" t="s">
        <v>72</v>
      </c>
    </row>
    <row r="10" spans="1:2" x14ac:dyDescent="0.25">
      <c r="A10" t="s">
        <v>233</v>
      </c>
    </row>
    <row r="11" spans="1:2" x14ac:dyDescent="0.25">
      <c r="A11" t="s">
        <v>234</v>
      </c>
      <c r="B11" t="s">
        <v>254</v>
      </c>
    </row>
    <row r="12" spans="1:2" x14ac:dyDescent="0.25">
      <c r="A12" t="s">
        <v>235</v>
      </c>
      <c r="B12" t="s">
        <v>255</v>
      </c>
    </row>
    <row r="13" spans="1:2" x14ac:dyDescent="0.25">
      <c r="A13" t="s">
        <v>236</v>
      </c>
      <c r="B13" t="s">
        <v>33</v>
      </c>
    </row>
    <row r="15" spans="1:2" x14ac:dyDescent="0.25">
      <c r="A15" t="s">
        <v>237</v>
      </c>
    </row>
    <row r="16" spans="1:2" x14ac:dyDescent="0.25">
      <c r="A16" t="s">
        <v>129</v>
      </c>
      <c r="B16" t="s">
        <v>134</v>
      </c>
    </row>
    <row r="17" spans="1:2" x14ac:dyDescent="0.25">
      <c r="A17" t="s">
        <v>238</v>
      </c>
    </row>
    <row r="18" spans="1:2" x14ac:dyDescent="0.25">
      <c r="A18" t="s">
        <v>239</v>
      </c>
    </row>
    <row r="19" spans="1:2" x14ac:dyDescent="0.25">
      <c r="A19" t="s">
        <v>123</v>
      </c>
      <c r="B19">
        <f ca="1">B19-B18</f>
        <v>0</v>
      </c>
    </row>
    <row r="20" spans="1:2" x14ac:dyDescent="0.25">
      <c r="A20" t="s">
        <v>240</v>
      </c>
      <c r="B20">
        <f ca="1">114.52*B20/100</f>
        <v>0</v>
      </c>
    </row>
    <row r="21" spans="1:2" x14ac:dyDescent="0.25">
      <c r="A21" t="s">
        <v>241</v>
      </c>
      <c r="B21">
        <f ca="1">B21/10</f>
        <v>0</v>
      </c>
    </row>
    <row r="22" spans="1:2" x14ac:dyDescent="0.25">
      <c r="A22" t="s">
        <v>125</v>
      </c>
    </row>
    <row r="23" spans="1:2" x14ac:dyDescent="0.25">
      <c r="A23" t="s">
        <v>126</v>
      </c>
    </row>
    <row r="24" spans="1:2" x14ac:dyDescent="0.25">
      <c r="A24" t="s">
        <v>242</v>
      </c>
      <c r="B24" t="s">
        <v>256</v>
      </c>
    </row>
    <row r="26" spans="1:2" x14ac:dyDescent="0.25">
      <c r="A26" t="s">
        <v>243</v>
      </c>
    </row>
    <row r="27" spans="1:2" x14ac:dyDescent="0.25">
      <c r="A27" t="s">
        <v>129</v>
      </c>
      <c r="B27" t="s">
        <v>134</v>
      </c>
    </row>
    <row r="28" spans="1:2" x14ac:dyDescent="0.25">
      <c r="A28" t="s">
        <v>238</v>
      </c>
    </row>
    <row r="29" spans="1:2" x14ac:dyDescent="0.25">
      <c r="A29" t="s">
        <v>239</v>
      </c>
    </row>
    <row r="30" spans="1:2" x14ac:dyDescent="0.25">
      <c r="A30" t="s">
        <v>123</v>
      </c>
      <c r="B30">
        <f ca="1">B31-B30</f>
        <v>0</v>
      </c>
    </row>
    <row r="31" spans="1:2" x14ac:dyDescent="0.25">
      <c r="A31" t="s">
        <v>240</v>
      </c>
      <c r="B31">
        <f>114.52*B32/100</f>
        <v>0</v>
      </c>
    </row>
    <row r="32" spans="1:2" x14ac:dyDescent="0.25">
      <c r="A32" t="s">
        <v>241</v>
      </c>
      <c r="B32">
        <f>B33/10</f>
        <v>0</v>
      </c>
    </row>
    <row r="33" spans="1:5" x14ac:dyDescent="0.25">
      <c r="A33" t="s">
        <v>125</v>
      </c>
    </row>
    <row r="34" spans="1:5" x14ac:dyDescent="0.25">
      <c r="A34" t="s">
        <v>126</v>
      </c>
    </row>
    <row r="35" spans="1:5" x14ac:dyDescent="0.25">
      <c r="A35" t="s">
        <v>242</v>
      </c>
      <c r="B35" t="s">
        <v>256</v>
      </c>
    </row>
    <row r="37" spans="1:5" x14ac:dyDescent="0.25">
      <c r="A37" t="s">
        <v>244</v>
      </c>
    </row>
    <row r="38" spans="1:5" x14ac:dyDescent="0.25">
      <c r="A38" t="s">
        <v>245</v>
      </c>
      <c r="B38" t="s">
        <v>257</v>
      </c>
      <c r="C38" t="s">
        <v>261</v>
      </c>
      <c r="D38" t="s">
        <v>137</v>
      </c>
      <c r="E38" t="s">
        <v>262</v>
      </c>
    </row>
    <row r="39" spans="1:5" x14ac:dyDescent="0.25">
      <c r="A39" t="s">
        <v>246</v>
      </c>
      <c r="B39">
        <f ca="1">B21/10</f>
        <v>0</v>
      </c>
      <c r="C39">
        <f>B33/10</f>
        <v>0</v>
      </c>
      <c r="D39">
        <f ca="1">(B33/10)-(B21/10)</f>
        <v>0</v>
      </c>
      <c r="E39">
        <f ca="1">(((B33/10)-(B21/10))/(B21/10))*100</f>
        <v>0</v>
      </c>
    </row>
    <row r="41" spans="1:5" x14ac:dyDescent="0.25">
      <c r="A41" t="s">
        <v>65</v>
      </c>
    </row>
    <row r="42" spans="1:5" x14ac:dyDescent="0.25">
      <c r="A42" t="s">
        <v>247</v>
      </c>
    </row>
    <row r="43" spans="1:5" x14ac:dyDescent="0.25">
      <c r="A43" t="s">
        <v>248</v>
      </c>
    </row>
    <row r="44" spans="1:5" x14ac:dyDescent="0.25">
      <c r="A44" t="s">
        <v>249</v>
      </c>
    </row>
    <row r="46" spans="1:5" x14ac:dyDescent="0.25">
      <c r="A46" t="s">
        <v>68</v>
      </c>
      <c r="B46" t="s">
        <v>74</v>
      </c>
      <c r="C46" t="s">
        <v>229</v>
      </c>
    </row>
    <row r="48" spans="1:5" x14ac:dyDescent="0.25">
      <c r="A48" t="s">
        <v>250</v>
      </c>
    </row>
    <row r="49" spans="1:4" x14ac:dyDescent="0.25">
      <c r="A49" t="s">
        <v>251</v>
      </c>
      <c r="B49" t="s">
        <v>258</v>
      </c>
    </row>
    <row r="50" spans="1:4" x14ac:dyDescent="0.25">
      <c r="A50" t="s">
        <v>252</v>
      </c>
      <c r="B50" t="s">
        <v>259</v>
      </c>
    </row>
    <row r="51" spans="1:4" x14ac:dyDescent="0.25">
      <c r="A51" t="s">
        <v>253</v>
      </c>
      <c r="B51" t="s">
        <v>260</v>
      </c>
    </row>
    <row r="53" spans="1:4" x14ac:dyDescent="0.25">
      <c r="A53" t="s">
        <v>69</v>
      </c>
    </row>
    <row r="57" spans="1:4" x14ac:dyDescent="0.25">
      <c r="A57" t="s">
        <v>70</v>
      </c>
      <c r="B57" t="s">
        <v>72</v>
      </c>
      <c r="C57" t="s">
        <v>77</v>
      </c>
      <c r="D57" t="s">
        <v>72</v>
      </c>
    </row>
  </sheetData>
  <pageMargins left="0.2" right="0.2" top="0.25" bottom="0.2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PERF-001 Lift Speed</vt:lpstr>
      <vt:lpstr>PERF-002 Sideshift</vt:lpstr>
      <vt:lpstr>PERF-003 Acceleration</vt:lpstr>
      <vt:lpstr>PERF-004 Regen Braking</vt:lpstr>
      <vt:lpstr>PERF-005 Turning Radius</vt:lpstr>
      <vt:lpstr>PERF-006 Joystick Response</vt:lpstr>
      <vt:lpstr>PERF-007 Motor Thermal</vt:lpstr>
      <vt:lpstr>PERF-008 Energy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Ma</dc:creator>
  <cp:lastModifiedBy>Thang Ma</cp:lastModifiedBy>
  <cp:lastPrinted>2025-12-19T07:29:13Z</cp:lastPrinted>
  <dcterms:created xsi:type="dcterms:W3CDTF">2025-12-17T03:58:03Z</dcterms:created>
  <dcterms:modified xsi:type="dcterms:W3CDTF">2026-06-19T09:17:12Z</dcterms:modified>
</cp:coreProperties>
</file>